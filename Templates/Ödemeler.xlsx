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" sheetId="1" state="visible" r:id="rId3"/>
    <sheet name="Filtreli Rapor" sheetId="2" state="visible" r:id="rId4"/>
    <sheet name="Tüm Veriler Raporu" sheetId="3" state="visible" r:id="rId5"/>
  </sheets>
  <definedNames>
    <definedName function="false" hidden="true" localSheetId="0" name="_xlnm._FilterDatabase" vbProcedure="false">Veri!$A$1:$G$1000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<sst xmlns="http://schemas.openxmlformats.org/spreadsheetml/2006/main" count="654" uniqueCount="245">
  <si>
    <t xml:space="preserve">G.Tarih</t>
  </si>
  <si>
    <t xml:space="preserve">ADLİYE</t>
  </si>
  <si>
    <t xml:space="preserve">Dosya No</t>
  </si>
  <si>
    <t xml:space="preserve">Sonuç</t>
  </si>
  <si>
    <t xml:space="preserve">T.Tarihi</t>
  </si>
  <si>
    <t xml:space="preserve">Ö.Tarihi</t>
  </si>
  <si>
    <t xml:space="preserve">Ödeme</t>
  </si>
  <si>
    <t xml:space="preserve">Kazanıldı?</t>
  </si>
  <si>
    <t xml:space="preserve">Kaybedildi?</t>
  </si>
  <si>
    <t xml:space="preserve">EDREMİT</t>
  </si>
  <si>
    <t xml:space="preserve">2018/692</t>
  </si>
  <si>
    <t xml:space="preserve">OLUMSUZ</t>
  </si>
  <si>
    <t xml:space="preserve">2018/847</t>
  </si>
  <si>
    <t xml:space="preserve">OLUMLU</t>
  </si>
  <si>
    <t xml:space="preserve">2018/1061</t>
  </si>
  <si>
    <t xml:space="preserve">AYVALIK</t>
  </si>
  <si>
    <t xml:space="preserve">2018/493</t>
  </si>
  <si>
    <t xml:space="preserve">2018/514</t>
  </si>
  <si>
    <t xml:space="preserve">2018/1221</t>
  </si>
  <si>
    <t xml:space="preserve">BURHANİYE</t>
  </si>
  <si>
    <t xml:space="preserve">2018/470</t>
  </si>
  <si>
    <t xml:space="preserve">2018/515</t>
  </si>
  <si>
    <t xml:space="preserve">2018/1364</t>
  </si>
  <si>
    <t xml:space="preserve">2018/1391</t>
  </si>
  <si>
    <t xml:space="preserve">2018/604</t>
  </si>
  <si>
    <t xml:space="preserve">2018/652</t>
  </si>
  <si>
    <t xml:space="preserve">2019/24</t>
  </si>
  <si>
    <t xml:space="preserve">2019/10</t>
  </si>
  <si>
    <t xml:space="preserve">2019/48</t>
  </si>
  <si>
    <t xml:space="preserve">2019/79</t>
  </si>
  <si>
    <t xml:space="preserve">2019/216</t>
  </si>
  <si>
    <t xml:space="preserve">2019/240</t>
  </si>
  <si>
    <t xml:space="preserve">2019/469</t>
  </si>
  <si>
    <t xml:space="preserve">2019/209</t>
  </si>
  <si>
    <t xml:space="preserve">2019/584</t>
  </si>
  <si>
    <t xml:space="preserve">2019/607</t>
  </si>
  <si>
    <t xml:space="preserve">2019/90</t>
  </si>
  <si>
    <t xml:space="preserve">2019/287</t>
  </si>
  <si>
    <t xml:space="preserve">2019/755</t>
  </si>
  <si>
    <t xml:space="preserve">2019/410</t>
  </si>
  <si>
    <t xml:space="preserve">2019/381</t>
  </si>
  <si>
    <t xml:space="preserve">2019/399</t>
  </si>
  <si>
    <t xml:space="preserve">2019/1120</t>
  </si>
  <si>
    <t xml:space="preserve">2019/556</t>
  </si>
  <si>
    <t xml:space="preserve">2019/1342</t>
  </si>
  <si>
    <t xml:space="preserve">2019/448</t>
  </si>
  <si>
    <t xml:space="preserve">2019/579</t>
  </si>
  <si>
    <t xml:space="preserve">2019/676</t>
  </si>
  <si>
    <t xml:space="preserve">2019/1598</t>
  </si>
  <si>
    <t xml:space="preserve">2019/762</t>
  </si>
  <si>
    <t xml:space="preserve">2019/1680</t>
  </si>
  <si>
    <t xml:space="preserve">2019/1817</t>
  </si>
  <si>
    <t xml:space="preserve">2019/1822</t>
  </si>
  <si>
    <t xml:space="preserve">2020/2</t>
  </si>
  <si>
    <t xml:space="preserve">2020/59</t>
  </si>
  <si>
    <t xml:space="preserve">2020/85</t>
  </si>
  <si>
    <t xml:space="preserve">2019/574</t>
  </si>
  <si>
    <t xml:space="preserve">2020/307</t>
  </si>
  <si>
    <t xml:space="preserve">2020/141</t>
  </si>
  <si>
    <t xml:space="preserve">2020/418</t>
  </si>
  <si>
    <t xml:space="preserve">2020/209</t>
  </si>
  <si>
    <t xml:space="preserve">2020/390</t>
  </si>
  <si>
    <t xml:space="preserve">2020/204</t>
  </si>
  <si>
    <t xml:space="preserve">2020/184</t>
  </si>
  <si>
    <t xml:space="preserve">2020/641</t>
  </si>
  <si>
    <t xml:space="preserve">2020/426</t>
  </si>
  <si>
    <t xml:space="preserve">2020/699</t>
  </si>
  <si>
    <t xml:space="preserve">2020/585</t>
  </si>
  <si>
    <t xml:space="preserve">2020/360</t>
  </si>
  <si>
    <t xml:space="preserve">2020/377</t>
  </si>
  <si>
    <t xml:space="preserve">2020/429</t>
  </si>
  <si>
    <t xml:space="preserve">2020/444</t>
  </si>
  <si>
    <t xml:space="preserve">2020/1068</t>
  </si>
  <si>
    <t xml:space="preserve">2020/503</t>
  </si>
  <si>
    <t xml:space="preserve">2020/673</t>
  </si>
  <si>
    <t xml:space="preserve">2020/1316</t>
  </si>
  <si>
    <t xml:space="preserve">2020/1305</t>
  </si>
  <si>
    <t xml:space="preserve">2020/1540</t>
  </si>
  <si>
    <t xml:space="preserve">2020/1500</t>
  </si>
  <si>
    <t xml:space="preserve">2020/1488</t>
  </si>
  <si>
    <t xml:space="preserve">2021/45</t>
  </si>
  <si>
    <t xml:space="preserve">2021/64</t>
  </si>
  <si>
    <t xml:space="preserve">2021/154</t>
  </si>
  <si>
    <t xml:space="preserve">2021/230</t>
  </si>
  <si>
    <t xml:space="preserve">2021/109</t>
  </si>
  <si>
    <t xml:space="preserve">2021/214</t>
  </si>
  <si>
    <t xml:space="preserve">2021/219</t>
  </si>
  <si>
    <t xml:space="preserve">2021/175</t>
  </si>
  <si>
    <t xml:space="preserve">2021/242</t>
  </si>
  <si>
    <t xml:space="preserve">2021/238</t>
  </si>
  <si>
    <t xml:space="preserve">2021/599</t>
  </si>
  <si>
    <t xml:space="preserve">2021/292</t>
  </si>
  <si>
    <t xml:space="preserve">2021/286</t>
  </si>
  <si>
    <t xml:space="preserve">2021/278</t>
  </si>
  <si>
    <t xml:space="preserve">2021/881</t>
  </si>
  <si>
    <t xml:space="preserve">2021/299</t>
  </si>
  <si>
    <t xml:space="preserve">2021/312</t>
  </si>
  <si>
    <t xml:space="preserve">2021/321</t>
  </si>
  <si>
    <t xml:space="preserve">2021/356</t>
  </si>
  <si>
    <t xml:space="preserve">2021/406</t>
  </si>
  <si>
    <t xml:space="preserve">2021/1249</t>
  </si>
  <si>
    <t xml:space="preserve">2021/1300</t>
  </si>
  <si>
    <t xml:space="preserve">2021/1383</t>
  </si>
  <si>
    <t xml:space="preserve">2021/1401</t>
  </si>
  <si>
    <t xml:space="preserve">2021/1412</t>
  </si>
  <si>
    <t xml:space="preserve">2021/459</t>
  </si>
  <si>
    <t xml:space="preserve">2021/565</t>
  </si>
  <si>
    <t xml:space="preserve">2021/633</t>
  </si>
  <si>
    <t xml:space="preserve">2021/1652</t>
  </si>
  <si>
    <t xml:space="preserve">2021/537</t>
  </si>
  <si>
    <t xml:space="preserve">2021/1928</t>
  </si>
  <si>
    <t xml:space="preserve">2021/814</t>
  </si>
  <si>
    <t xml:space="preserve">2021/827</t>
  </si>
  <si>
    <t xml:space="preserve">2022/39</t>
  </si>
  <si>
    <t xml:space="preserve">2022/57</t>
  </si>
  <si>
    <t xml:space="preserve">2022/125</t>
  </si>
  <si>
    <t xml:space="preserve">2022/378</t>
  </si>
  <si>
    <t xml:space="preserve">2022/553</t>
  </si>
  <si>
    <t xml:space="preserve">2022/358</t>
  </si>
  <si>
    <t xml:space="preserve">2022/203</t>
  </si>
  <si>
    <t xml:space="preserve">2022/732</t>
  </si>
  <si>
    <t xml:space="preserve">2022/238</t>
  </si>
  <si>
    <t xml:space="preserve">2022/847</t>
  </si>
  <si>
    <t xml:space="preserve">2022/266</t>
  </si>
  <si>
    <t xml:space="preserve">2022/966</t>
  </si>
  <si>
    <t xml:space="preserve">2022/507</t>
  </si>
  <si>
    <t xml:space="preserve">2022/407</t>
  </si>
  <si>
    <t xml:space="preserve">2022/268</t>
  </si>
  <si>
    <t xml:space="preserve">2022/333</t>
  </si>
  <si>
    <t xml:space="preserve">2022/440</t>
  </si>
  <si>
    <t xml:space="preserve">2022/1255</t>
  </si>
  <si>
    <t xml:space="preserve">2022/1274</t>
  </si>
  <si>
    <t xml:space="preserve">2022/760</t>
  </si>
  <si>
    <t xml:space="preserve">2022/1624</t>
  </si>
  <si>
    <t xml:space="preserve">2022/1651</t>
  </si>
  <si>
    <t xml:space="preserve">2022/549</t>
  </si>
  <si>
    <t xml:space="preserve">2022/910</t>
  </si>
  <si>
    <t xml:space="preserve">2022/1891</t>
  </si>
  <si>
    <t xml:space="preserve">2022/1988</t>
  </si>
  <si>
    <t xml:space="preserve">2022/631</t>
  </si>
  <si>
    <t xml:space="preserve">2022/651</t>
  </si>
  <si>
    <t xml:space="preserve">2023/26</t>
  </si>
  <si>
    <t xml:space="preserve">2023/66</t>
  </si>
  <si>
    <t xml:space="preserve">2023/101</t>
  </si>
  <si>
    <t xml:space="preserve">2023/130</t>
  </si>
  <si>
    <t xml:space="preserve">2023/226</t>
  </si>
  <si>
    <t xml:space="preserve">2023/288</t>
  </si>
  <si>
    <t xml:space="preserve">2023/394</t>
  </si>
  <si>
    <t xml:space="preserve">2023/344</t>
  </si>
  <si>
    <t xml:space="preserve">2023/557</t>
  </si>
  <si>
    <t xml:space="preserve">2023/501</t>
  </si>
  <si>
    <t xml:space="preserve">2023/711</t>
  </si>
  <si>
    <t xml:space="preserve">2023/847</t>
  </si>
  <si>
    <t xml:space="preserve">2023/845</t>
  </si>
  <si>
    <t xml:space="preserve">2023/931</t>
  </si>
  <si>
    <t xml:space="preserve">2023/576</t>
  </si>
  <si>
    <t xml:space="preserve">2023/1233</t>
  </si>
  <si>
    <t xml:space="preserve">2023/1253</t>
  </si>
  <si>
    <t xml:space="preserve">2023/690</t>
  </si>
  <si>
    <t xml:space="preserve">2023/745</t>
  </si>
  <si>
    <t xml:space="preserve">2023/635</t>
  </si>
  <si>
    <t xml:space="preserve">2023/1369</t>
  </si>
  <si>
    <t xml:space="preserve">2023/415</t>
  </si>
  <si>
    <t xml:space="preserve">2023/941</t>
  </si>
  <si>
    <t xml:space="preserve">2023/991</t>
  </si>
  <si>
    <t xml:space="preserve">2024/181</t>
  </si>
  <si>
    <t xml:space="preserve">2024/262</t>
  </si>
  <si>
    <t xml:space="preserve">2024/326</t>
  </si>
  <si>
    <t xml:space="preserve">2024/476</t>
  </si>
  <si>
    <t xml:space="preserve">2024/497</t>
  </si>
  <si>
    <t xml:space="preserve">2024/541</t>
  </si>
  <si>
    <t xml:space="preserve">2024/223</t>
  </si>
  <si>
    <t xml:space="preserve">2024/571</t>
  </si>
  <si>
    <t xml:space="preserve">2024/585</t>
  </si>
  <si>
    <t xml:space="preserve">2024/663</t>
  </si>
  <si>
    <t xml:space="preserve">2024/659</t>
  </si>
  <si>
    <t xml:space="preserve">2024/616</t>
  </si>
  <si>
    <t xml:space="preserve">2024/820</t>
  </si>
  <si>
    <t xml:space="preserve">2024/592</t>
  </si>
  <si>
    <t xml:space="preserve">2024/1167</t>
  </si>
  <si>
    <t xml:space="preserve">2024/1237</t>
  </si>
  <si>
    <t xml:space="preserve">2024/1268</t>
  </si>
  <si>
    <t xml:space="preserve">2024/1267</t>
  </si>
  <si>
    <t xml:space="preserve">2024/402</t>
  </si>
  <si>
    <t xml:space="preserve">2024/478</t>
  </si>
  <si>
    <t xml:space="preserve">2024/1460</t>
  </si>
  <si>
    <t xml:space="preserve">2024/710</t>
  </si>
  <si>
    <t xml:space="preserve">2024/731</t>
  </si>
  <si>
    <t xml:space="preserve">2024/908</t>
  </si>
  <si>
    <t xml:space="preserve">2024/682</t>
  </si>
  <si>
    <t xml:space="preserve">2024/791</t>
  </si>
  <si>
    <t xml:space="preserve">2024/974</t>
  </si>
  <si>
    <t xml:space="preserve">2024/955</t>
  </si>
  <si>
    <t xml:space="preserve">2025/20</t>
  </si>
  <si>
    <t xml:space="preserve">2025/73</t>
  </si>
  <si>
    <t xml:space="preserve">2025/82</t>
  </si>
  <si>
    <t xml:space="preserve">2025/317</t>
  </si>
  <si>
    <t xml:space="preserve">2025/328</t>
  </si>
  <si>
    <t xml:space="preserve">2025/269</t>
  </si>
  <si>
    <t xml:space="preserve">2025/265</t>
  </si>
  <si>
    <t xml:space="preserve">2025/289</t>
  </si>
  <si>
    <t xml:space="preserve">2025/329</t>
  </si>
  <si>
    <t xml:space="preserve">2025/674</t>
  </si>
  <si>
    <t xml:space="preserve">2025/413</t>
  </si>
  <si>
    <t xml:space="preserve">2025/864</t>
  </si>
  <si>
    <t xml:space="preserve">2025/825</t>
  </si>
  <si>
    <t xml:space="preserve">2025/562</t>
  </si>
  <si>
    <t xml:space="preserve">2025/488</t>
  </si>
  <si>
    <t xml:space="preserve">2025/481</t>
  </si>
  <si>
    <t xml:space="preserve">2025/986</t>
  </si>
  <si>
    <t xml:space="preserve">2025/1301</t>
  </si>
  <si>
    <t xml:space="preserve">2025/1357</t>
  </si>
  <si>
    <t xml:space="preserve">2026/14</t>
  </si>
  <si>
    <t xml:space="preserve">2026/97</t>
  </si>
  <si>
    <t xml:space="preserve">2026/83</t>
  </si>
  <si>
    <t xml:space="preserve">2026/187</t>
  </si>
  <si>
    <t xml:space="preserve">VERİLER RAPORU</t>
  </si>
  <si>
    <t xml:space="preserve">Bu rapor Veri sayfasındaki FİLTRELENMİŞ (görünen) satırları kullanır</t>
  </si>
  <si>
    <t xml:space="preserve">1. GÖRÜNEN SATIRLARIN ÖDEME TOPLAMI</t>
  </si>
  <si>
    <t xml:space="preserve">Açıklama</t>
  </si>
  <si>
    <t xml:space="preserve">Toplam Ödeme</t>
  </si>
  <si>
    <t xml:space="preserve">Ödeme Toplamı</t>
  </si>
  <si>
    <t xml:space="preserve">2. GÖRÜNEN SATIRLARIN SONUÇ SAYILARI</t>
  </si>
  <si>
    <t xml:space="preserve">Satır Sayısı</t>
  </si>
  <si>
    <t xml:space="preserve">Gelen Dosya Sayısı</t>
  </si>
  <si>
    <t xml:space="preserve">3. GÖRÜNEN SATIRLARIN SONUÇ DAĞILIMI</t>
  </si>
  <si>
    <t xml:space="preserve">Sayı</t>
  </si>
  <si>
    <t xml:space="preserve">Olumlu</t>
  </si>
  <si>
    <t xml:space="preserve">Olumsuz</t>
  </si>
  <si>
    <t xml:space="preserve">Toplam Görünen</t>
  </si>
  <si>
    <t xml:space="preserve">KULLANIM TALİMATI:</t>
  </si>
  <si>
    <t xml:space="preserve">1. Veri sayfasına gidin</t>
  </si>
  <si>
    <t xml:space="preserve">2. Sütun başlıklarındaki filtre butonlarını kullanarak istediğiniz tarihleri/adliyeleri/sonuçları seçin</t>
  </si>
  <si>
    <t xml:space="preserve">3. Bu sayfaya dönün - tüm rakamlar otomatik güncellenecektir</t>
  </si>
  <si>
    <t xml:space="preserve">4. Filtreyi kaldırınca tüm verilerin toplamını görürsünüz</t>
  </si>
  <si>
    <t xml:space="preserve">TÜM VERİLER RAPORU (FİLTRESİZ)</t>
  </si>
  <si>
    <t xml:space="preserve">1. ADLİYE BAZINDA TOPLAM ÖDEMELER</t>
  </si>
  <si>
    <t xml:space="preserve">Adliye</t>
  </si>
  <si>
    <t xml:space="preserve">GENEL TOPLAM</t>
  </si>
  <si>
    <t xml:space="preserve">2. ÖDEME TARİHİ BAZINDA TOPLAM (YIL)</t>
  </si>
  <si>
    <t xml:space="preserve">Yıl</t>
  </si>
  <si>
    <t xml:space="preserve">4. ADLİYE BAZINDA SONUÇ SAYILARI</t>
  </si>
  <si>
    <t xml:space="preserve">Kazanıldı</t>
  </si>
  <si>
    <t xml:space="preserve">Kaybedildi</t>
  </si>
  <si>
    <t xml:space="preserve">Toplam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</si>
</sst>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yy"/>
  </numFmts>
  <fonts count="9">
    <font>
      <sz val="11"/>
      <color theme="1"/>
      <name val="Calibri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Arial"/>
      <family val="0"/>
      <charset val="162"/>
    </font>
    <font>
      <b val="true"/>
      <sz val="14"/>
      <color theme="1"/>
      <name val="Arial"/>
      <family val="0"/>
      <charset val="162"/>
    </font>
    <font>
      <i val="true"/>
      <sz val="10"/>
      <color theme="1"/>
      <name val="Arial"/>
      <family val="0"/>
      <charset val="162"/>
    </font>
    <font>
      <b val="true"/>
      <sz val="12"/>
      <color theme="1"/>
      <name val="Arial"/>
      <family val="0"/>
      <charset val="162"/>
    </font>
    <font>
      <sz val="10"/>
      <color theme="1"/>
      <name val="Arial"/>
      <family val="0"/>
      <charset val="16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93" colorId="64" zoomScale="100" zoomScaleNormal="100" zoomScalePageLayoutView="100" workbookViewId="0">
      <selection pane="topLeft" activeCell="B204" activeCellId="0" sqref="B20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.57"/>
    <col collapsed="false" customWidth="true" hidden="false" outlineLevel="0" max="4" min="3" style="1" width="15"/>
    <col collapsed="false" customWidth="true" hidden="false" outlineLevel="0" max="5" min="5" style="1" width="13.75"/>
    <col collapsed="false" customWidth="true" hidden="false" outlineLevel="0" max="6" min="6" style="1" width="14.33"/>
    <col collapsed="false" customWidth="true" hidden="false" outlineLevel="0" max="7" min="7" style="2" width="16.83"/>
    <col collapsed="false" customWidth="true" hidden="true" outlineLevel="0" max="9" min="8" style="1" width="13"/>
    <col collapsed="false" customWidth="true" hidden="false" outlineLevel="0" max="26" min="10" style="1" width="8.71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 customFormat="false" ht="15" hidden="false" customHeight="true" outlineLevel="0" collapsed="false">
      <c r="A2" s="6" t="n">
        <v>43311</v>
      </c>
      <c r="B2" s="7" t="s">
        <v>9</v>
      </c>
      <c r="C2" s="7" t="s">
        <v>10</v>
      </c>
      <c r="D2" s="7" t="s">
        <v>11</v>
      </c>
      <c r="E2" s="8"/>
      <c r="F2" s="6" t="n">
        <v>43392</v>
      </c>
      <c r="G2" s="9" t="n">
        <v>95.82</v>
      </c>
      <c r="H2" s="10" t="n">
        <f aca="false">IF(D2="OLUMLU",1,0)</f>
        <v>0</v>
      </c>
      <c r="I2" s="10" t="n">
        <f aca="false">IF(D2="OLUMSUZ",1,0)</f>
        <v>1</v>
      </c>
    </row>
    <row r="3" customFormat="false" ht="15" hidden="false" customHeight="true" outlineLevel="0" collapsed="false">
      <c r="A3" s="6" t="n">
        <v>43367</v>
      </c>
      <c r="B3" s="7" t="s">
        <v>9</v>
      </c>
      <c r="C3" s="7" t="s">
        <v>12</v>
      </c>
      <c r="D3" s="7" t="s">
        <v>13</v>
      </c>
      <c r="E3" s="8"/>
      <c r="F3" s="6" t="n">
        <v>43419</v>
      </c>
      <c r="G3" s="9" t="n">
        <v>287.48</v>
      </c>
      <c r="H3" s="10" t="n">
        <f aca="false">IF(D3="OLUMLU",1,0)</f>
        <v>1</v>
      </c>
      <c r="I3" s="10" t="n">
        <f aca="false">IF(D3="OLUMSUZ",1,0)</f>
        <v>0</v>
      </c>
    </row>
    <row r="4" customFormat="false" ht="15" hidden="false" customHeight="true" outlineLevel="0" collapsed="false">
      <c r="A4" s="6" t="n">
        <v>43392</v>
      </c>
      <c r="B4" s="7" t="s">
        <v>9</v>
      </c>
      <c r="C4" s="7" t="s">
        <v>14</v>
      </c>
      <c r="D4" s="7" t="s">
        <v>13</v>
      </c>
      <c r="E4" s="8"/>
      <c r="F4" s="6" t="n">
        <v>43419</v>
      </c>
      <c r="G4" s="9" t="n">
        <v>287.48</v>
      </c>
      <c r="H4" s="10" t="n">
        <f aca="false">IF(D4="OLUMLU",1,0)</f>
        <v>1</v>
      </c>
      <c r="I4" s="10" t="n">
        <f aca="false">IF(D4="OLUMSUZ",1,0)</f>
        <v>0</v>
      </c>
    </row>
    <row r="5" customFormat="false" ht="15" hidden="false" customHeight="true" outlineLevel="0" collapsed="false">
      <c r="A5" s="6" t="n">
        <v>43392</v>
      </c>
      <c r="B5" s="7" t="s">
        <v>15</v>
      </c>
      <c r="C5" s="7" t="s">
        <v>16</v>
      </c>
      <c r="D5" s="7" t="s">
        <v>13</v>
      </c>
      <c r="E5" s="8"/>
      <c r="F5" s="6" t="n">
        <v>43430</v>
      </c>
      <c r="G5" s="9" t="n">
        <v>287.48</v>
      </c>
      <c r="H5" s="10" t="n">
        <f aca="false">IF(D5="OLUMLU",1,0)</f>
        <v>1</v>
      </c>
      <c r="I5" s="10" t="n">
        <f aca="false">IF(D5="OLUMSUZ",1,0)</f>
        <v>0</v>
      </c>
    </row>
    <row r="6" customFormat="false" ht="15" hidden="false" customHeight="true" outlineLevel="0" collapsed="false">
      <c r="A6" s="6" t="n">
        <v>43392</v>
      </c>
      <c r="B6" s="7" t="s">
        <v>15</v>
      </c>
      <c r="C6" s="7" t="s">
        <v>17</v>
      </c>
      <c r="D6" s="7" t="s">
        <v>13</v>
      </c>
      <c r="E6" s="7"/>
      <c r="F6" s="6" t="n">
        <v>43425</v>
      </c>
      <c r="G6" s="9" t="n">
        <v>287.48</v>
      </c>
      <c r="H6" s="10" t="n">
        <f aca="false">IF(D6="OLUMLU",1,0)</f>
        <v>1</v>
      </c>
      <c r="I6" s="10" t="n">
        <f aca="false">IF(D6="OLUMSUZ",1,0)</f>
        <v>0</v>
      </c>
    </row>
    <row r="7" customFormat="false" ht="15" hidden="false" customHeight="true" outlineLevel="0" collapsed="false">
      <c r="A7" s="6" t="n">
        <v>43397</v>
      </c>
      <c r="B7" s="7" t="s">
        <v>9</v>
      </c>
      <c r="C7" s="7" t="s">
        <v>18</v>
      </c>
      <c r="D7" s="7" t="s">
        <v>11</v>
      </c>
      <c r="E7" s="7"/>
      <c r="F7" s="6" t="n">
        <v>43459</v>
      </c>
      <c r="G7" s="9" t="n">
        <v>115.99</v>
      </c>
      <c r="H7" s="10" t="n">
        <f aca="false">IF(D7="OLUMLU",1,0)</f>
        <v>0</v>
      </c>
      <c r="I7" s="10" t="n">
        <f aca="false">IF(D7="OLUMSUZ",1,0)</f>
        <v>1</v>
      </c>
    </row>
    <row r="8" customFormat="false" ht="15" hidden="false" customHeight="true" outlineLevel="0" collapsed="false">
      <c r="A8" s="6" t="n">
        <v>43399</v>
      </c>
      <c r="B8" s="7" t="s">
        <v>19</v>
      </c>
      <c r="C8" s="7" t="s">
        <v>20</v>
      </c>
      <c r="D8" s="7" t="s">
        <v>11</v>
      </c>
      <c r="E8" s="7"/>
      <c r="F8" s="6" t="n">
        <v>43460</v>
      </c>
      <c r="G8" s="9" t="n">
        <v>95.82</v>
      </c>
      <c r="H8" s="10" t="n">
        <f aca="false">IF(D8="OLUMLU",1,0)</f>
        <v>0</v>
      </c>
      <c r="I8" s="10" t="n">
        <f aca="false">IF(D8="OLUMSUZ",1,0)</f>
        <v>1</v>
      </c>
    </row>
    <row r="9" customFormat="false" ht="15" hidden="false" customHeight="true" outlineLevel="0" collapsed="false">
      <c r="A9" s="6" t="n">
        <v>43409</v>
      </c>
      <c r="B9" s="7" t="s">
        <v>15</v>
      </c>
      <c r="C9" s="7" t="s">
        <v>21</v>
      </c>
      <c r="D9" s="7" t="s">
        <v>11</v>
      </c>
      <c r="E9" s="7"/>
      <c r="F9" s="6" t="n">
        <v>43461</v>
      </c>
      <c r="G9" s="9" t="n">
        <v>143.73</v>
      </c>
      <c r="H9" s="10" t="n">
        <f aca="false">IF(D9="OLUMLU",1,0)</f>
        <v>0</v>
      </c>
      <c r="I9" s="10" t="n">
        <f aca="false">IF(D9="OLUMSUZ",1,0)</f>
        <v>1</v>
      </c>
    </row>
    <row r="10" customFormat="false" ht="15" hidden="false" customHeight="true" outlineLevel="0" collapsed="false">
      <c r="A10" s="6" t="n">
        <v>43416</v>
      </c>
      <c r="B10" s="7" t="s">
        <v>9</v>
      </c>
      <c r="C10" s="7" t="s">
        <v>22</v>
      </c>
      <c r="D10" s="7" t="s">
        <v>11</v>
      </c>
      <c r="E10" s="7"/>
      <c r="F10" s="6" t="n">
        <v>43431</v>
      </c>
      <c r="G10" s="9" t="n">
        <v>95.82</v>
      </c>
      <c r="H10" s="10" t="n">
        <f aca="false">IF(D10="OLUMLU",1,0)</f>
        <v>0</v>
      </c>
      <c r="I10" s="10" t="n">
        <f aca="false">IF(D10="OLUMSUZ",1,0)</f>
        <v>1</v>
      </c>
    </row>
    <row r="11" customFormat="false" ht="15" hidden="false" customHeight="true" outlineLevel="0" collapsed="false">
      <c r="A11" s="6" t="n">
        <v>43416</v>
      </c>
      <c r="B11" s="7" t="s">
        <v>9</v>
      </c>
      <c r="C11" s="7" t="s">
        <v>23</v>
      </c>
      <c r="D11" s="7" t="s">
        <v>13</v>
      </c>
      <c r="E11" s="7"/>
      <c r="F11" s="6" t="n">
        <v>43432</v>
      </c>
      <c r="G11" s="9" t="n">
        <v>287.48</v>
      </c>
      <c r="H11" s="10" t="n">
        <f aca="false">IF(D11="OLUMLU",1,0)</f>
        <v>1</v>
      </c>
      <c r="I11" s="10" t="n">
        <f aca="false">IF(D11="OLUMSUZ",1,0)</f>
        <v>0</v>
      </c>
    </row>
    <row r="12" customFormat="false" ht="15" hidden="false" customHeight="true" outlineLevel="0" collapsed="false">
      <c r="A12" s="6" t="n">
        <v>43467</v>
      </c>
      <c r="B12" s="7" t="s">
        <v>19</v>
      </c>
      <c r="C12" s="7" t="s">
        <v>24</v>
      </c>
      <c r="D12" s="7" t="s">
        <v>13</v>
      </c>
      <c r="E12" s="7"/>
      <c r="F12" s="6" t="n">
        <v>43433</v>
      </c>
      <c r="G12" s="9" t="n">
        <v>332.85</v>
      </c>
      <c r="H12" s="10" t="n">
        <f aca="false">IF(D12="OLUMLU",1,0)</f>
        <v>1</v>
      </c>
      <c r="I12" s="10" t="n">
        <f aca="false">IF(D12="OLUMSUZ",1,0)</f>
        <v>0</v>
      </c>
    </row>
    <row r="13" customFormat="false" ht="15" hidden="false" customHeight="true" outlineLevel="0" collapsed="false">
      <c r="A13" s="6" t="n">
        <v>43468</v>
      </c>
      <c r="B13" s="7" t="s">
        <v>15</v>
      </c>
      <c r="C13" s="7" t="s">
        <v>25</v>
      </c>
      <c r="D13" s="7" t="s">
        <v>13</v>
      </c>
      <c r="E13" s="7"/>
      <c r="F13" s="6" t="n">
        <v>43434</v>
      </c>
      <c r="G13" s="9" t="n">
        <v>332.85</v>
      </c>
      <c r="H13" s="10" t="n">
        <f aca="false">IF(D13="OLUMLU",1,0)</f>
        <v>1</v>
      </c>
      <c r="I13" s="10" t="n">
        <f aca="false">IF(D13="OLUMSUZ",1,0)</f>
        <v>0</v>
      </c>
    </row>
    <row r="14" customFormat="false" ht="15" hidden="false" customHeight="true" outlineLevel="0" collapsed="false">
      <c r="A14" s="6" t="n">
        <v>43475</v>
      </c>
      <c r="B14" s="7" t="s">
        <v>19</v>
      </c>
      <c r="C14" s="7" t="s">
        <v>26</v>
      </c>
      <c r="D14" s="7" t="s">
        <v>13</v>
      </c>
      <c r="E14" s="7"/>
      <c r="F14" s="6" t="n">
        <v>43570</v>
      </c>
      <c r="G14" s="9" t="n">
        <v>340.85</v>
      </c>
      <c r="H14" s="10" t="n">
        <f aca="false">IF(D14="OLUMLU",1,0)</f>
        <v>1</v>
      </c>
      <c r="I14" s="10" t="n">
        <f aca="false">IF(D14="OLUMSUZ",1,0)</f>
        <v>0</v>
      </c>
    </row>
    <row r="15" customFormat="false" ht="15" hidden="false" customHeight="true" outlineLevel="0" collapsed="false">
      <c r="A15" s="6" t="n">
        <v>43476</v>
      </c>
      <c r="B15" s="7" t="s">
        <v>15</v>
      </c>
      <c r="C15" s="7" t="s">
        <v>27</v>
      </c>
      <c r="D15" s="7" t="s">
        <v>11</v>
      </c>
      <c r="E15" s="7"/>
      <c r="F15" s="6" t="n">
        <v>43598</v>
      </c>
      <c r="G15" s="9" t="n">
        <v>110</v>
      </c>
      <c r="H15" s="10" t="n">
        <f aca="false">IF(D15="OLUMLU",1,0)</f>
        <v>0</v>
      </c>
      <c r="I15" s="10" t="n">
        <f aca="false">IF(D15="OLUMSUZ",1,0)</f>
        <v>1</v>
      </c>
    </row>
    <row r="16" customFormat="false" ht="15" hidden="false" customHeight="true" outlineLevel="0" collapsed="false">
      <c r="A16" s="6" t="n">
        <v>43483</v>
      </c>
      <c r="B16" s="7" t="s">
        <v>19</v>
      </c>
      <c r="C16" s="7" t="s">
        <v>28</v>
      </c>
      <c r="D16" s="7" t="s">
        <v>13</v>
      </c>
      <c r="E16" s="7"/>
      <c r="F16" s="6" t="n">
        <v>43567</v>
      </c>
      <c r="G16" s="9" t="n">
        <v>365.85</v>
      </c>
      <c r="H16" s="10" t="n">
        <f aca="false">IF(D16="OLUMLU",1,0)</f>
        <v>1</v>
      </c>
      <c r="I16" s="10" t="n">
        <f aca="false">IF(D16="OLUMSUZ",1,0)</f>
        <v>0</v>
      </c>
    </row>
    <row r="17" customFormat="false" ht="15" hidden="false" customHeight="true" outlineLevel="0" collapsed="false">
      <c r="A17" s="6" t="n">
        <v>43486</v>
      </c>
      <c r="B17" s="7" t="s">
        <v>9</v>
      </c>
      <c r="C17" s="7" t="s">
        <v>29</v>
      </c>
      <c r="D17" s="7" t="s">
        <v>13</v>
      </c>
      <c r="E17" s="7"/>
      <c r="F17" s="6" t="n">
        <v>43566</v>
      </c>
      <c r="G17" s="9" t="n">
        <v>470</v>
      </c>
      <c r="H17" s="10" t="n">
        <f aca="false">IF(D17="OLUMLU",1,0)</f>
        <v>1</v>
      </c>
      <c r="I17" s="10" t="n">
        <f aca="false">IF(D17="OLUMSUZ",1,0)</f>
        <v>0</v>
      </c>
    </row>
    <row r="18" customFormat="false" ht="15" hidden="false" customHeight="true" outlineLevel="0" collapsed="false">
      <c r="A18" s="6" t="n">
        <v>43502</v>
      </c>
      <c r="B18" s="7" t="s">
        <v>9</v>
      </c>
      <c r="C18" s="7" t="s">
        <v>30</v>
      </c>
      <c r="D18" s="7" t="s">
        <v>11</v>
      </c>
      <c r="E18" s="7"/>
      <c r="F18" s="6" t="n">
        <v>43566</v>
      </c>
      <c r="G18" s="9" t="n">
        <v>110</v>
      </c>
      <c r="H18" s="10" t="n">
        <f aca="false">IF(D18="OLUMLU",1,0)</f>
        <v>0</v>
      </c>
      <c r="I18" s="10" t="n">
        <f aca="false">IF(D18="OLUMSUZ",1,0)</f>
        <v>1</v>
      </c>
    </row>
    <row r="19" customFormat="false" ht="15" hidden="false" customHeight="true" outlineLevel="0" collapsed="false">
      <c r="A19" s="6" t="n">
        <v>43509</v>
      </c>
      <c r="B19" s="7" t="s">
        <v>9</v>
      </c>
      <c r="C19" s="7" t="s">
        <v>31</v>
      </c>
      <c r="D19" s="7" t="s">
        <v>11</v>
      </c>
      <c r="E19" s="7"/>
      <c r="F19" s="6" t="n">
        <v>43566</v>
      </c>
      <c r="G19" s="9" t="n">
        <v>143</v>
      </c>
      <c r="H19" s="10" t="n">
        <f aca="false">IF(D19="OLUMLU",1,0)</f>
        <v>0</v>
      </c>
      <c r="I19" s="10" t="n">
        <f aca="false">IF(D19="OLUMSUZ",1,0)</f>
        <v>1</v>
      </c>
    </row>
    <row r="20" customFormat="false" ht="15" hidden="false" customHeight="true" outlineLevel="0" collapsed="false">
      <c r="A20" s="6" t="n">
        <v>43535</v>
      </c>
      <c r="B20" s="7" t="s">
        <v>9</v>
      </c>
      <c r="C20" s="7" t="s">
        <v>32</v>
      </c>
      <c r="D20" s="7" t="s">
        <v>11</v>
      </c>
      <c r="E20" s="7"/>
      <c r="F20" s="6" t="n">
        <v>43567</v>
      </c>
      <c r="G20" s="9" t="n">
        <v>110</v>
      </c>
      <c r="H20" s="10" t="n">
        <f aca="false">IF(D20="OLUMLU",1,0)</f>
        <v>0</v>
      </c>
      <c r="I20" s="10" t="n">
        <f aca="false">IF(D20="OLUMSUZ",1,0)</f>
        <v>1</v>
      </c>
    </row>
    <row r="21" customFormat="false" ht="15" hidden="false" customHeight="true" outlineLevel="0" collapsed="false">
      <c r="A21" s="6" t="n">
        <v>43552</v>
      </c>
      <c r="B21" s="7" t="s">
        <v>15</v>
      </c>
      <c r="C21" s="7" t="s">
        <v>33</v>
      </c>
      <c r="D21" s="7" t="s">
        <v>11</v>
      </c>
      <c r="E21" s="7"/>
      <c r="F21" s="6" t="n">
        <v>43568</v>
      </c>
      <c r="G21" s="9" t="n">
        <v>166.2</v>
      </c>
      <c r="H21" s="10" t="n">
        <f aca="false">IF(D21="OLUMLU",1,0)</f>
        <v>0</v>
      </c>
      <c r="I21" s="10" t="n">
        <f aca="false">IF(D21="OLUMSUZ",1,0)</f>
        <v>1</v>
      </c>
    </row>
    <row r="22" customFormat="false" ht="15" hidden="false" customHeight="true" outlineLevel="0" collapsed="false">
      <c r="A22" s="6" t="n">
        <v>43558</v>
      </c>
      <c r="B22" s="7" t="s">
        <v>9</v>
      </c>
      <c r="C22" s="7" t="s">
        <v>34</v>
      </c>
      <c r="D22" s="7" t="s">
        <v>13</v>
      </c>
      <c r="E22" s="7"/>
      <c r="F22" s="6" t="n">
        <v>43656</v>
      </c>
      <c r="G22" s="9" t="n">
        <v>323</v>
      </c>
      <c r="H22" s="10" t="n">
        <f aca="false">IF(D22="OLUMLU",1,0)</f>
        <v>1</v>
      </c>
      <c r="I22" s="10" t="n">
        <f aca="false">IF(D22="OLUMSUZ",1,0)</f>
        <v>0</v>
      </c>
    </row>
    <row r="23" customFormat="false" ht="15" hidden="false" customHeight="true" outlineLevel="0" collapsed="false">
      <c r="A23" s="6" t="n">
        <v>43564</v>
      </c>
      <c r="B23" s="7" t="s">
        <v>9</v>
      </c>
      <c r="C23" s="7" t="s">
        <v>35</v>
      </c>
      <c r="D23" s="7" t="s">
        <v>11</v>
      </c>
      <c r="E23" s="7"/>
      <c r="F23" s="6" t="n">
        <v>43684</v>
      </c>
      <c r="G23" s="9" t="n">
        <v>166</v>
      </c>
      <c r="H23" s="10" t="n">
        <f aca="false">IF(D23="OLUMLU",1,0)</f>
        <v>0</v>
      </c>
      <c r="I23" s="10" t="n">
        <f aca="false">IF(D23="OLUMSUZ",1,0)</f>
        <v>1</v>
      </c>
    </row>
    <row r="24" customFormat="false" ht="15" hidden="false" customHeight="true" outlineLevel="0" collapsed="false">
      <c r="A24" s="6" t="n">
        <v>43566</v>
      </c>
      <c r="B24" s="7" t="s">
        <v>19</v>
      </c>
      <c r="C24" s="7" t="s">
        <v>36</v>
      </c>
      <c r="D24" s="7" t="s">
        <v>13</v>
      </c>
      <c r="E24" s="7"/>
      <c r="F24" s="6" t="n">
        <v>43685</v>
      </c>
      <c r="G24" s="9" t="n">
        <v>332.85</v>
      </c>
      <c r="H24" s="10" t="n">
        <f aca="false">IF(D24="OLUMLU",1,0)</f>
        <v>1</v>
      </c>
      <c r="I24" s="10" t="n">
        <f aca="false">IF(D24="OLUMSUZ",1,0)</f>
        <v>0</v>
      </c>
    </row>
    <row r="25" customFormat="false" ht="15" hidden="false" customHeight="true" outlineLevel="0" collapsed="false">
      <c r="A25" s="6" t="n">
        <v>43580</v>
      </c>
      <c r="B25" s="7" t="s">
        <v>15</v>
      </c>
      <c r="C25" s="7" t="s">
        <v>37</v>
      </c>
      <c r="D25" s="7" t="s">
        <v>13</v>
      </c>
      <c r="E25" s="7"/>
      <c r="F25" s="6" t="n">
        <v>43685</v>
      </c>
      <c r="G25" s="9" t="n">
        <v>332.85</v>
      </c>
      <c r="H25" s="10" t="n">
        <f aca="false">IF(D25="OLUMLU",1,0)</f>
        <v>1</v>
      </c>
      <c r="I25" s="10" t="n">
        <f aca="false">IF(D25="OLUMSUZ",1,0)</f>
        <v>0</v>
      </c>
    </row>
    <row r="26" customFormat="false" ht="15" hidden="false" customHeight="true" outlineLevel="0" collapsed="false">
      <c r="A26" s="6" t="n">
        <v>43593</v>
      </c>
      <c r="B26" s="7" t="s">
        <v>9</v>
      </c>
      <c r="C26" s="7" t="s">
        <v>38</v>
      </c>
      <c r="D26" s="7" t="s">
        <v>11</v>
      </c>
      <c r="E26" s="7"/>
      <c r="F26" s="6" t="n">
        <v>43656</v>
      </c>
      <c r="G26" s="9" t="n">
        <v>150</v>
      </c>
      <c r="H26" s="10" t="n">
        <f aca="false">IF(D26="OLUMLU",1,0)</f>
        <v>0</v>
      </c>
      <c r="I26" s="10" t="n">
        <f aca="false">IF(D26="OLUMSUZ",1,0)</f>
        <v>1</v>
      </c>
    </row>
    <row r="27" customFormat="false" ht="15" hidden="false" customHeight="true" outlineLevel="0" collapsed="false">
      <c r="A27" s="6" t="n">
        <v>43665</v>
      </c>
      <c r="B27" s="7" t="s">
        <v>15</v>
      </c>
      <c r="C27" s="7" t="s">
        <v>39</v>
      </c>
      <c r="D27" s="7" t="s">
        <v>11</v>
      </c>
      <c r="E27" s="7"/>
      <c r="F27" s="6" t="n">
        <v>43801</v>
      </c>
      <c r="G27" s="9" t="n">
        <v>111</v>
      </c>
      <c r="H27" s="10" t="n">
        <f aca="false">IF(D27="OLUMLU",1,0)</f>
        <v>0</v>
      </c>
      <c r="I27" s="10" t="n">
        <f aca="false">IF(D27="OLUMSUZ",1,0)</f>
        <v>1</v>
      </c>
    </row>
    <row r="28" customFormat="false" ht="15" hidden="false" customHeight="true" outlineLevel="0" collapsed="false">
      <c r="A28" s="6" t="n">
        <v>43665</v>
      </c>
      <c r="B28" s="7" t="s">
        <v>15</v>
      </c>
      <c r="C28" s="7" t="s">
        <v>40</v>
      </c>
      <c r="D28" s="7" t="s">
        <v>13</v>
      </c>
      <c r="E28" s="7"/>
      <c r="F28" s="6" t="n">
        <v>43801</v>
      </c>
      <c r="G28" s="9" t="n">
        <v>332</v>
      </c>
      <c r="H28" s="10" t="n">
        <f aca="false">IF(D28="OLUMLU",1,0)</f>
        <v>1</v>
      </c>
      <c r="I28" s="10" t="n">
        <f aca="false">IF(D28="OLUMSUZ",1,0)</f>
        <v>0</v>
      </c>
    </row>
    <row r="29" customFormat="false" ht="15" hidden="false" customHeight="true" outlineLevel="0" collapsed="false">
      <c r="A29" s="6" t="n">
        <v>43676</v>
      </c>
      <c r="B29" s="7" t="s">
        <v>19</v>
      </c>
      <c r="C29" s="7" t="s">
        <v>41</v>
      </c>
      <c r="D29" s="7" t="s">
        <v>13</v>
      </c>
      <c r="E29" s="7"/>
      <c r="F29" s="6" t="n">
        <v>43749</v>
      </c>
      <c r="G29" s="9" t="n">
        <v>332</v>
      </c>
      <c r="H29" s="10" t="n">
        <f aca="false">IF(D29="OLUMLU",1,0)</f>
        <v>1</v>
      </c>
      <c r="I29" s="10" t="n">
        <f aca="false">IF(D29="OLUMSUZ",1,0)</f>
        <v>0</v>
      </c>
    </row>
    <row r="30" customFormat="false" ht="15" hidden="false" customHeight="true" outlineLevel="0" collapsed="false">
      <c r="A30" s="6" t="n">
        <v>43700</v>
      </c>
      <c r="B30" s="7" t="s">
        <v>9</v>
      </c>
      <c r="C30" s="7" t="s">
        <v>42</v>
      </c>
      <c r="D30" s="7" t="s">
        <v>11</v>
      </c>
      <c r="E30" s="7"/>
      <c r="F30" s="6" t="n">
        <v>43801</v>
      </c>
      <c r="G30" s="9" t="n">
        <v>110</v>
      </c>
      <c r="H30" s="10" t="n">
        <f aca="false">IF(D30="OLUMLU",1,0)</f>
        <v>0</v>
      </c>
      <c r="I30" s="10" t="n">
        <f aca="false">IF(D30="OLUMSUZ",1,0)</f>
        <v>1</v>
      </c>
    </row>
    <row r="31" customFormat="false" ht="15" hidden="false" customHeight="true" outlineLevel="0" collapsed="false">
      <c r="A31" s="6" t="n">
        <v>43740</v>
      </c>
      <c r="B31" s="7" t="s">
        <v>19</v>
      </c>
      <c r="C31" s="7" t="s">
        <v>43</v>
      </c>
      <c r="D31" s="7" t="s">
        <v>13</v>
      </c>
      <c r="E31" s="7"/>
      <c r="F31" s="6" t="n">
        <v>43798</v>
      </c>
      <c r="G31" s="9" t="n">
        <v>332</v>
      </c>
      <c r="H31" s="10" t="n">
        <f aca="false">IF(D31="OLUMLU",1,0)</f>
        <v>1</v>
      </c>
      <c r="I31" s="10" t="n">
        <f aca="false">IF(D31="OLUMSUZ",1,0)</f>
        <v>0</v>
      </c>
    </row>
    <row r="32" customFormat="false" ht="15" hidden="false" customHeight="true" outlineLevel="0" collapsed="false">
      <c r="A32" s="6" t="n">
        <v>43746</v>
      </c>
      <c r="B32" s="7" t="s">
        <v>9</v>
      </c>
      <c r="C32" s="7" t="s">
        <v>44</v>
      </c>
      <c r="D32" s="7" t="s">
        <v>11</v>
      </c>
      <c r="E32" s="7"/>
      <c r="F32" s="6" t="n">
        <v>43871</v>
      </c>
      <c r="G32" s="9" t="n">
        <v>110</v>
      </c>
      <c r="H32" s="10" t="n">
        <f aca="false">IF(D32="OLUMLU",1,0)</f>
        <v>0</v>
      </c>
      <c r="I32" s="10" t="n">
        <f aca="false">IF(D32="OLUMSUZ",1,0)</f>
        <v>1</v>
      </c>
    </row>
    <row r="33" customFormat="false" ht="15" hidden="false" customHeight="true" outlineLevel="0" collapsed="false">
      <c r="A33" s="6" t="n">
        <v>43748</v>
      </c>
      <c r="B33" s="7" t="s">
        <v>15</v>
      </c>
      <c r="C33" s="7" t="s">
        <v>45</v>
      </c>
      <c r="D33" s="7" t="s">
        <v>11</v>
      </c>
      <c r="E33" s="7"/>
      <c r="F33" s="6" t="n">
        <v>43815</v>
      </c>
      <c r="G33" s="9" t="n">
        <v>166</v>
      </c>
      <c r="H33" s="10" t="n">
        <f aca="false">IF(D33="OLUMLU",1,0)</f>
        <v>0</v>
      </c>
      <c r="I33" s="10" t="n">
        <f aca="false">IF(D33="OLUMSUZ",1,0)</f>
        <v>1</v>
      </c>
    </row>
    <row r="34" customFormat="false" ht="15" hidden="false" customHeight="true" outlineLevel="0" collapsed="false">
      <c r="A34" s="6" t="n">
        <v>43754</v>
      </c>
      <c r="B34" s="7" t="s">
        <v>19</v>
      </c>
      <c r="C34" s="7" t="s">
        <v>46</v>
      </c>
      <c r="D34" s="7" t="s">
        <v>13</v>
      </c>
      <c r="E34" s="7"/>
      <c r="F34" s="6" t="n">
        <v>43815</v>
      </c>
      <c r="G34" s="9" t="n">
        <v>332</v>
      </c>
      <c r="H34" s="10" t="n">
        <f aca="false">IF(D34="OLUMLU",1,0)</f>
        <v>1</v>
      </c>
      <c r="I34" s="10" t="n">
        <f aca="false">IF(D34="OLUMSUZ",1,0)</f>
        <v>0</v>
      </c>
    </row>
    <row r="35" customFormat="false" ht="15" hidden="false" customHeight="true" outlineLevel="0" collapsed="false">
      <c r="A35" s="6" t="n">
        <v>43776</v>
      </c>
      <c r="B35" s="7" t="s">
        <v>19</v>
      </c>
      <c r="C35" s="7" t="s">
        <v>47</v>
      </c>
      <c r="D35" s="7" t="s">
        <v>11</v>
      </c>
      <c r="E35" s="7"/>
      <c r="F35" s="6" t="n">
        <v>43872</v>
      </c>
      <c r="G35" s="9" t="n">
        <v>110</v>
      </c>
      <c r="H35" s="10" t="n">
        <f aca="false">IF(D35="OLUMLU",1,0)</f>
        <v>0</v>
      </c>
      <c r="I35" s="10" t="n">
        <f aca="false">IF(D35="OLUMSUZ",1,0)</f>
        <v>1</v>
      </c>
    </row>
    <row r="36" customFormat="false" ht="15" hidden="false" customHeight="true" outlineLevel="0" collapsed="false">
      <c r="A36" s="6" t="n">
        <v>43782</v>
      </c>
      <c r="B36" s="7" t="s">
        <v>9</v>
      </c>
      <c r="C36" s="7" t="s">
        <v>48</v>
      </c>
      <c r="D36" s="7" t="s">
        <v>13</v>
      </c>
      <c r="E36" s="7"/>
      <c r="F36" s="6" t="n">
        <v>43871</v>
      </c>
      <c r="G36" s="9" t="n">
        <v>332</v>
      </c>
      <c r="H36" s="10" t="n">
        <f aca="false">IF(D36="OLUMLU",1,0)</f>
        <v>1</v>
      </c>
      <c r="I36" s="10" t="n">
        <f aca="false">IF(D36="OLUMSUZ",1,0)</f>
        <v>0</v>
      </c>
    </row>
    <row r="37" customFormat="false" ht="15" hidden="false" customHeight="true" outlineLevel="0" collapsed="false">
      <c r="A37" s="6" t="n">
        <v>43808</v>
      </c>
      <c r="B37" s="7" t="s">
        <v>19</v>
      </c>
      <c r="C37" s="7" t="s">
        <v>49</v>
      </c>
      <c r="D37" s="7" t="s">
        <v>13</v>
      </c>
      <c r="E37" s="7"/>
      <c r="F37" s="6" t="n">
        <v>43872</v>
      </c>
      <c r="G37" s="9" t="n">
        <v>332</v>
      </c>
      <c r="H37" s="10" t="n">
        <f aca="false">IF(D37="OLUMLU",1,0)</f>
        <v>1</v>
      </c>
      <c r="I37" s="10" t="n">
        <f aca="false">IF(D37="OLUMSUZ",1,0)</f>
        <v>0</v>
      </c>
    </row>
    <row r="38" customFormat="false" ht="15" hidden="false" customHeight="true" outlineLevel="0" collapsed="false">
      <c r="A38" s="6" t="n">
        <v>43811</v>
      </c>
      <c r="B38" s="7" t="s">
        <v>9</v>
      </c>
      <c r="C38" s="7" t="s">
        <v>50</v>
      </c>
      <c r="D38" s="7" t="s">
        <v>11</v>
      </c>
      <c r="E38" s="7"/>
      <c r="F38" s="6" t="n">
        <v>43930</v>
      </c>
      <c r="G38" s="9" t="n">
        <v>121.88</v>
      </c>
      <c r="H38" s="10" t="n">
        <f aca="false">IF(D38="OLUMLU",1,0)</f>
        <v>0</v>
      </c>
      <c r="I38" s="10" t="n">
        <f aca="false">IF(D38="OLUMSUZ",1,0)</f>
        <v>1</v>
      </c>
    </row>
    <row r="39" customFormat="false" ht="15" hidden="false" customHeight="true" outlineLevel="0" collapsed="false">
      <c r="A39" s="6" t="n">
        <v>43826</v>
      </c>
      <c r="B39" s="7" t="s">
        <v>9</v>
      </c>
      <c r="C39" s="7" t="s">
        <v>51</v>
      </c>
      <c r="D39" s="7" t="s">
        <v>13</v>
      </c>
      <c r="E39" s="7"/>
      <c r="F39" s="6" t="n">
        <v>43930</v>
      </c>
      <c r="G39" s="9" t="n">
        <v>374.87</v>
      </c>
      <c r="H39" s="10" t="n">
        <f aca="false">IF(D39="OLUMLU",1,0)</f>
        <v>1</v>
      </c>
      <c r="I39" s="10" t="n">
        <f aca="false">IF(D39="OLUMSUZ",1,0)</f>
        <v>0</v>
      </c>
    </row>
    <row r="40" customFormat="false" ht="15" hidden="false" customHeight="true" outlineLevel="0" collapsed="false">
      <c r="A40" s="6" t="n">
        <v>43826</v>
      </c>
      <c r="B40" s="7" t="s">
        <v>9</v>
      </c>
      <c r="C40" s="7" t="s">
        <v>52</v>
      </c>
      <c r="D40" s="7" t="s">
        <v>11</v>
      </c>
      <c r="E40" s="7"/>
      <c r="F40" s="6" t="n">
        <v>43930</v>
      </c>
      <c r="G40" s="9" t="n">
        <v>121.88</v>
      </c>
      <c r="H40" s="10" t="n">
        <f aca="false">IF(D40="OLUMLU",1,0)</f>
        <v>0</v>
      </c>
      <c r="I40" s="10" t="n">
        <f aca="false">IF(D40="OLUMSUZ",1,0)</f>
        <v>1</v>
      </c>
    </row>
    <row r="41" customFormat="false" ht="15" hidden="false" customHeight="true" outlineLevel="0" collapsed="false">
      <c r="A41" s="6" t="n">
        <v>43839</v>
      </c>
      <c r="B41" s="7" t="s">
        <v>19</v>
      </c>
      <c r="C41" s="7" t="s">
        <v>53</v>
      </c>
      <c r="D41" s="7" t="s">
        <v>11</v>
      </c>
      <c r="E41" s="7"/>
      <c r="F41" s="6" t="n">
        <v>43880</v>
      </c>
      <c r="G41" s="2" t="n">
        <v>110</v>
      </c>
      <c r="H41" s="10" t="n">
        <f aca="false">IF(D41="OLUMLU",1,0)</f>
        <v>0</v>
      </c>
      <c r="I41" s="10" t="n">
        <f aca="false">IF(D41="OLUMSUZ",1,0)</f>
        <v>1</v>
      </c>
    </row>
    <row r="42" customFormat="false" ht="15" hidden="false" customHeight="true" outlineLevel="0" collapsed="false">
      <c r="A42" s="6" t="n">
        <v>43846</v>
      </c>
      <c r="B42" s="7" t="s">
        <v>15</v>
      </c>
      <c r="C42" s="7" t="s">
        <v>54</v>
      </c>
      <c r="D42" s="7" t="s">
        <v>11</v>
      </c>
      <c r="E42" s="7"/>
      <c r="F42" s="6" t="n">
        <v>43934</v>
      </c>
      <c r="G42" s="2" t="n">
        <v>121</v>
      </c>
      <c r="H42" s="10" t="n">
        <f aca="false">IF(D42="OLUMLU",1,0)</f>
        <v>0</v>
      </c>
      <c r="I42" s="10" t="n">
        <f aca="false">IF(D42="OLUMSUZ",1,0)</f>
        <v>1</v>
      </c>
    </row>
    <row r="43" customFormat="false" ht="15" hidden="false" customHeight="true" outlineLevel="0" collapsed="false">
      <c r="A43" s="6" t="n">
        <v>43868</v>
      </c>
      <c r="B43" s="7" t="s">
        <v>19</v>
      </c>
      <c r="C43" s="7" t="s">
        <v>55</v>
      </c>
      <c r="D43" s="7" t="s">
        <v>11</v>
      </c>
      <c r="E43" s="7"/>
      <c r="F43" s="6" t="n">
        <v>44102</v>
      </c>
      <c r="G43" s="2" t="n">
        <v>121</v>
      </c>
      <c r="H43" s="10" t="n">
        <f aca="false">IF(D43="OLUMLU",1,0)</f>
        <v>0</v>
      </c>
      <c r="I43" s="10" t="n">
        <f aca="false">IF(D43="OLUMSUZ",1,0)</f>
        <v>1</v>
      </c>
    </row>
    <row r="44" customFormat="false" ht="15" hidden="false" customHeight="true" outlineLevel="0" collapsed="false">
      <c r="A44" s="6" t="n">
        <v>43874</v>
      </c>
      <c r="B44" s="7" t="s">
        <v>15</v>
      </c>
      <c r="C44" s="7" t="s">
        <v>56</v>
      </c>
      <c r="D44" s="7" t="s">
        <v>11</v>
      </c>
      <c r="E44" s="7"/>
      <c r="F44" s="6" t="n">
        <v>44105</v>
      </c>
      <c r="G44" s="2" t="n">
        <v>121</v>
      </c>
      <c r="H44" s="10" t="n">
        <f aca="false">IF(D44="OLUMLU",1,0)</f>
        <v>0</v>
      </c>
      <c r="I44" s="10" t="n">
        <f aca="false">IF(D44="OLUMSUZ",1,0)</f>
        <v>1</v>
      </c>
    </row>
    <row r="45" customFormat="false" ht="15" hidden="false" customHeight="true" outlineLevel="0" collapsed="false">
      <c r="A45" s="6" t="n">
        <v>43882</v>
      </c>
      <c r="B45" s="7" t="s">
        <v>9</v>
      </c>
      <c r="C45" s="7" t="s">
        <v>57</v>
      </c>
      <c r="D45" s="7" t="s">
        <v>13</v>
      </c>
      <c r="E45" s="7"/>
      <c r="F45" s="6" t="n">
        <v>43930</v>
      </c>
      <c r="G45" s="2" t="n">
        <v>366.47</v>
      </c>
      <c r="H45" s="10" t="n">
        <f aca="false">IF(D45="OLUMLU",1,0)</f>
        <v>1</v>
      </c>
      <c r="I45" s="10" t="n">
        <f aca="false">IF(D45="OLUMSUZ",1,0)</f>
        <v>0</v>
      </c>
    </row>
    <row r="46" customFormat="false" ht="15" hidden="false" customHeight="true" outlineLevel="0" collapsed="false">
      <c r="A46" s="6" t="n">
        <v>43892</v>
      </c>
      <c r="B46" s="7" t="s">
        <v>19</v>
      </c>
      <c r="C46" s="7" t="s">
        <v>58</v>
      </c>
      <c r="D46" s="7" t="s">
        <v>11</v>
      </c>
      <c r="E46" s="7"/>
      <c r="F46" s="6" t="n">
        <v>44064</v>
      </c>
      <c r="G46" s="2" t="n">
        <v>121</v>
      </c>
      <c r="H46" s="10" t="n">
        <f aca="false">IF(D46="OLUMLU",1,0)</f>
        <v>0</v>
      </c>
      <c r="I46" s="10" t="n">
        <f aca="false">IF(D46="OLUMSUZ",1,0)</f>
        <v>1</v>
      </c>
    </row>
    <row r="47" customFormat="false" ht="15" hidden="false" customHeight="true" outlineLevel="0" collapsed="false">
      <c r="A47" s="6" t="n">
        <v>43906</v>
      </c>
      <c r="B47" s="7" t="s">
        <v>9</v>
      </c>
      <c r="C47" s="7" t="s">
        <v>59</v>
      </c>
      <c r="D47" s="7" t="s">
        <v>13</v>
      </c>
      <c r="E47" s="7"/>
      <c r="F47" s="6" t="n">
        <v>44102</v>
      </c>
      <c r="G47" s="2" t="n">
        <v>366</v>
      </c>
      <c r="H47" s="10" t="n">
        <f aca="false">IF(D47="OLUMLU",1,0)</f>
        <v>1</v>
      </c>
      <c r="I47" s="10" t="n">
        <f aca="false">IF(D47="OLUMSUZ",1,0)</f>
        <v>0</v>
      </c>
    </row>
    <row r="48" customFormat="false" ht="15" hidden="false" customHeight="true" outlineLevel="0" collapsed="false">
      <c r="A48" s="6" t="n">
        <v>43984</v>
      </c>
      <c r="B48" s="7" t="s">
        <v>19</v>
      </c>
      <c r="C48" s="7" t="s">
        <v>60</v>
      </c>
      <c r="D48" s="7" t="s">
        <v>13</v>
      </c>
      <c r="E48" s="7"/>
      <c r="F48" s="6" t="n">
        <v>44064</v>
      </c>
      <c r="G48" s="2" t="n">
        <v>366</v>
      </c>
      <c r="H48" s="10" t="n">
        <f aca="false">IF(D48="OLUMLU",1,0)</f>
        <v>1</v>
      </c>
      <c r="I48" s="10" t="n">
        <f aca="false">IF(D48="OLUMSUZ",1,0)</f>
        <v>0</v>
      </c>
    </row>
    <row r="49" customFormat="false" ht="15" hidden="false" customHeight="true" outlineLevel="0" collapsed="false">
      <c r="A49" s="6" t="n">
        <v>43991</v>
      </c>
      <c r="B49" s="7" t="s">
        <v>9</v>
      </c>
      <c r="C49" s="7" t="s">
        <v>61</v>
      </c>
      <c r="D49" s="7" t="s">
        <v>11</v>
      </c>
      <c r="E49" s="7"/>
      <c r="F49" s="6" t="n">
        <v>44152</v>
      </c>
      <c r="G49" s="2" t="n">
        <v>121</v>
      </c>
      <c r="H49" s="10" t="n">
        <f aca="false">IF(D49="OLUMLU",1,0)</f>
        <v>0</v>
      </c>
      <c r="I49" s="10" t="n">
        <f aca="false">IF(D49="OLUMSUZ",1,0)</f>
        <v>1</v>
      </c>
    </row>
    <row r="50" customFormat="false" ht="15" hidden="false" customHeight="true" outlineLevel="0" collapsed="false">
      <c r="A50" s="6" t="n">
        <v>43994</v>
      </c>
      <c r="B50" s="7" t="s">
        <v>15</v>
      </c>
      <c r="C50" s="7" t="s">
        <v>62</v>
      </c>
      <c r="D50" s="7" t="s">
        <v>11</v>
      </c>
      <c r="E50" s="7"/>
      <c r="F50" s="6" t="n">
        <v>44105</v>
      </c>
      <c r="G50" s="2" t="n">
        <v>121</v>
      </c>
      <c r="H50" s="10" t="n">
        <f aca="false">IF(D50="OLUMLU",1,0)</f>
        <v>0</v>
      </c>
      <c r="I50" s="10" t="n">
        <f aca="false">IF(D50="OLUMSUZ",1,0)</f>
        <v>1</v>
      </c>
    </row>
    <row r="51" customFormat="false" ht="15" hidden="false" customHeight="true" outlineLevel="0" collapsed="false">
      <c r="A51" s="6" t="n">
        <v>43994</v>
      </c>
      <c r="B51" s="7" t="s">
        <v>15</v>
      </c>
      <c r="C51" s="7" t="s">
        <v>63</v>
      </c>
      <c r="D51" s="7" t="s">
        <v>13</v>
      </c>
      <c r="E51" s="7"/>
      <c r="F51" s="6" t="n">
        <v>44105</v>
      </c>
      <c r="G51" s="2" t="n">
        <v>366</v>
      </c>
      <c r="H51" s="10" t="n">
        <f aca="false">IF(D51="OLUMLU",1,0)</f>
        <v>1</v>
      </c>
      <c r="I51" s="10" t="n">
        <f aca="false">IF(D51="OLUMSUZ",1,0)</f>
        <v>0</v>
      </c>
    </row>
    <row r="52" customFormat="false" ht="15" hidden="false" customHeight="true" outlineLevel="0" collapsed="false">
      <c r="A52" s="6" t="n">
        <v>44034</v>
      </c>
      <c r="B52" s="7" t="s">
        <v>9</v>
      </c>
      <c r="C52" s="7" t="s">
        <v>64</v>
      </c>
      <c r="D52" s="7" t="s">
        <v>13</v>
      </c>
      <c r="E52" s="7"/>
      <c r="F52" s="6" t="n">
        <v>44102</v>
      </c>
      <c r="G52" s="2" t="n">
        <v>489</v>
      </c>
      <c r="H52" s="10" t="n">
        <f aca="false">IF(D52="OLUMLU",1,0)</f>
        <v>1</v>
      </c>
      <c r="I52" s="10" t="n">
        <f aca="false">IF(D52="OLUMSUZ",1,0)</f>
        <v>0</v>
      </c>
    </row>
    <row r="53" customFormat="false" ht="15" hidden="false" customHeight="true" outlineLevel="0" collapsed="false">
      <c r="A53" s="6" t="n">
        <v>44062</v>
      </c>
      <c r="B53" s="7" t="s">
        <v>9</v>
      </c>
      <c r="C53" s="7" t="s">
        <v>65</v>
      </c>
      <c r="D53" s="7" t="s">
        <v>11</v>
      </c>
      <c r="E53" s="7"/>
      <c r="F53" s="6" t="n">
        <v>44195</v>
      </c>
      <c r="G53" s="2" t="n">
        <v>120</v>
      </c>
      <c r="H53" s="10" t="n">
        <f aca="false">IF(D53="OLUMLU",1,0)</f>
        <v>0</v>
      </c>
      <c r="I53" s="10" t="n">
        <f aca="false">IF(D53="OLUMSUZ",1,0)</f>
        <v>1</v>
      </c>
    </row>
    <row r="54" customFormat="false" ht="15" hidden="false" customHeight="true" outlineLevel="0" collapsed="false">
      <c r="A54" s="6" t="n">
        <v>44067</v>
      </c>
      <c r="B54" s="7" t="s">
        <v>9</v>
      </c>
      <c r="C54" s="7" t="s">
        <v>66</v>
      </c>
      <c r="D54" s="7" t="s">
        <v>11</v>
      </c>
      <c r="E54" s="7"/>
      <c r="F54" s="6" t="n">
        <v>44152</v>
      </c>
      <c r="G54" s="2" t="n">
        <v>183</v>
      </c>
      <c r="H54" s="10" t="n">
        <f aca="false">IF(D54="OLUMLU",1,0)</f>
        <v>0</v>
      </c>
      <c r="I54" s="10" t="n">
        <f aca="false">IF(D54="OLUMSUZ",1,0)</f>
        <v>1</v>
      </c>
    </row>
    <row r="55" customFormat="false" ht="15" hidden="false" customHeight="true" outlineLevel="0" collapsed="false">
      <c r="A55" s="6" t="n">
        <v>44075</v>
      </c>
      <c r="B55" s="7" t="s">
        <v>9</v>
      </c>
      <c r="C55" s="7" t="s">
        <v>67</v>
      </c>
      <c r="D55" s="7" t="s">
        <v>13</v>
      </c>
      <c r="E55" s="7"/>
      <c r="F55" s="6" t="n">
        <v>44152</v>
      </c>
      <c r="G55" s="2" t="n">
        <v>366</v>
      </c>
      <c r="H55" s="10" t="n">
        <f aca="false">IF(D55="OLUMLU",1,0)</f>
        <v>1</v>
      </c>
      <c r="I55" s="10" t="n">
        <f aca="false">IF(D55="OLUMSUZ",1,0)</f>
        <v>0</v>
      </c>
    </row>
    <row r="56" customFormat="false" ht="15" hidden="false" customHeight="true" outlineLevel="0" collapsed="false">
      <c r="A56" s="6" t="n">
        <v>44083</v>
      </c>
      <c r="B56" s="7" t="s">
        <v>15</v>
      </c>
      <c r="C56" s="7" t="s">
        <v>68</v>
      </c>
      <c r="D56" s="7" t="s">
        <v>13</v>
      </c>
      <c r="E56" s="7"/>
      <c r="F56" s="6" t="n">
        <v>44244</v>
      </c>
      <c r="G56" s="2" t="n">
        <v>366</v>
      </c>
      <c r="H56" s="10" t="n">
        <f aca="false">IF(D56="OLUMLU",1,0)</f>
        <v>1</v>
      </c>
      <c r="I56" s="10" t="n">
        <f aca="false">IF(D56="OLUMSUZ",1,0)</f>
        <v>0</v>
      </c>
    </row>
    <row r="57" customFormat="false" ht="15" hidden="false" customHeight="true" outlineLevel="0" collapsed="false">
      <c r="A57" s="6" t="n">
        <v>44091</v>
      </c>
      <c r="B57" s="7" t="s">
        <v>15</v>
      </c>
      <c r="C57" s="7" t="s">
        <v>69</v>
      </c>
      <c r="D57" s="7" t="s">
        <v>13</v>
      </c>
      <c r="E57" s="7"/>
      <c r="F57" s="6" t="n">
        <v>44155</v>
      </c>
      <c r="G57" s="2" t="n">
        <v>366</v>
      </c>
      <c r="H57" s="10" t="n">
        <f aca="false">IF(D57="OLUMLU",1,0)</f>
        <v>1</v>
      </c>
      <c r="I57" s="10" t="n">
        <f aca="false">IF(D57="OLUMSUZ",1,0)</f>
        <v>0</v>
      </c>
    </row>
    <row r="58" customFormat="false" ht="15" hidden="false" customHeight="true" outlineLevel="0" collapsed="false">
      <c r="A58" s="6" t="n">
        <v>44111</v>
      </c>
      <c r="B58" s="7" t="s">
        <v>19</v>
      </c>
      <c r="C58" s="7" t="s">
        <v>70</v>
      </c>
      <c r="D58" s="7" t="s">
        <v>13</v>
      </c>
      <c r="E58" s="7"/>
      <c r="F58" s="6" t="n">
        <v>44194</v>
      </c>
      <c r="G58" s="2" t="n">
        <v>366</v>
      </c>
      <c r="H58" s="10" t="n">
        <f aca="false">IF(D58="OLUMLU",1,0)</f>
        <v>1</v>
      </c>
      <c r="I58" s="10" t="n">
        <f aca="false">IF(D58="OLUMSUZ",1,0)</f>
        <v>0</v>
      </c>
    </row>
    <row r="59" customFormat="false" ht="15" hidden="false" customHeight="true" outlineLevel="0" collapsed="false">
      <c r="A59" s="6" t="n">
        <v>44117</v>
      </c>
      <c r="B59" s="7" t="s">
        <v>15</v>
      </c>
      <c r="C59" s="7" t="s">
        <v>71</v>
      </c>
      <c r="D59" s="7" t="s">
        <v>13</v>
      </c>
      <c r="E59" s="7"/>
      <c r="F59" s="6" t="n">
        <v>44155</v>
      </c>
      <c r="G59" s="2" t="n">
        <v>366</v>
      </c>
      <c r="H59" s="10" t="n">
        <f aca="false">IF(D59="OLUMLU",1,0)</f>
        <v>1</v>
      </c>
      <c r="I59" s="10" t="n">
        <f aca="false">IF(D59="OLUMSUZ",1,0)</f>
        <v>0</v>
      </c>
    </row>
    <row r="60" customFormat="false" ht="15" hidden="false" customHeight="true" outlineLevel="0" collapsed="false">
      <c r="A60" s="6" t="n">
        <v>44127</v>
      </c>
      <c r="B60" s="7" t="s">
        <v>9</v>
      </c>
      <c r="C60" s="7" t="s">
        <v>72</v>
      </c>
      <c r="D60" s="7" t="s">
        <v>11</v>
      </c>
      <c r="E60" s="7"/>
      <c r="F60" s="6" t="n">
        <v>44195</v>
      </c>
      <c r="G60" s="2" t="n">
        <v>122</v>
      </c>
      <c r="H60" s="10" t="n">
        <f aca="false">IF(D60="OLUMLU",1,0)</f>
        <v>0</v>
      </c>
      <c r="I60" s="10" t="n">
        <f aca="false">IF(D60="OLUMSUZ",1,0)</f>
        <v>1</v>
      </c>
    </row>
    <row r="61" customFormat="false" ht="15" hidden="false" customHeight="true" outlineLevel="0" collapsed="false">
      <c r="A61" s="6" t="n">
        <v>44134</v>
      </c>
      <c r="B61" s="7" t="s">
        <v>19</v>
      </c>
      <c r="C61" s="7" t="s">
        <v>73</v>
      </c>
      <c r="D61" s="7" t="s">
        <v>11</v>
      </c>
      <c r="E61" s="7"/>
      <c r="F61" s="6" t="n">
        <v>44194</v>
      </c>
      <c r="G61" s="2" t="n">
        <v>122</v>
      </c>
      <c r="H61" s="10" t="n">
        <f aca="false">IF(D61="OLUMLU",1,0)</f>
        <v>0</v>
      </c>
      <c r="I61" s="10" t="n">
        <f aca="false">IF(D61="OLUMSUZ",1,0)</f>
        <v>1</v>
      </c>
    </row>
    <row r="62" customFormat="false" ht="15" hidden="false" customHeight="true" outlineLevel="0" collapsed="false">
      <c r="A62" s="6" t="n">
        <v>44162</v>
      </c>
      <c r="B62" s="7" t="s">
        <v>15</v>
      </c>
      <c r="C62" s="7" t="s">
        <v>74</v>
      </c>
      <c r="D62" s="7" t="s">
        <v>13</v>
      </c>
      <c r="E62" s="7"/>
      <c r="F62" s="6" t="n">
        <v>44298</v>
      </c>
      <c r="G62" s="2" t="n">
        <v>366</v>
      </c>
      <c r="H62" s="10" t="n">
        <f aca="false">IF(D62="OLUMLU",1,0)</f>
        <v>1</v>
      </c>
      <c r="I62" s="10" t="n">
        <f aca="false">IF(D62="OLUMSUZ",1,0)</f>
        <v>0</v>
      </c>
    </row>
    <row r="63" customFormat="false" ht="15" hidden="false" customHeight="true" outlineLevel="0" collapsed="false">
      <c r="A63" s="6" t="n">
        <v>44167</v>
      </c>
      <c r="B63" s="7" t="s">
        <v>9</v>
      </c>
      <c r="C63" s="7" t="s">
        <v>75</v>
      </c>
      <c r="D63" s="7" t="s">
        <v>13</v>
      </c>
      <c r="E63" s="7"/>
      <c r="F63" s="6" t="n">
        <v>44195</v>
      </c>
      <c r="G63" s="2" t="n">
        <v>366</v>
      </c>
      <c r="H63" s="10" t="n">
        <f aca="false">IF(D63="OLUMLU",1,0)</f>
        <v>1</v>
      </c>
      <c r="I63" s="10" t="n">
        <f aca="false">IF(D63="OLUMSUZ",1,0)</f>
        <v>0</v>
      </c>
    </row>
    <row r="64" customFormat="false" ht="15" hidden="false" customHeight="true" outlineLevel="0" collapsed="false">
      <c r="A64" s="6" t="n">
        <v>44167</v>
      </c>
      <c r="B64" s="7" t="s">
        <v>9</v>
      </c>
      <c r="C64" s="7" t="s">
        <v>76</v>
      </c>
      <c r="D64" s="7" t="s">
        <v>11</v>
      </c>
      <c r="E64" s="7"/>
      <c r="F64" s="6" t="n">
        <v>44237</v>
      </c>
      <c r="G64" s="2" t="n">
        <v>134</v>
      </c>
      <c r="H64" s="10" t="n">
        <f aca="false">IF(D64="OLUMLU",1,0)</f>
        <v>0</v>
      </c>
      <c r="I64" s="10" t="n">
        <f aca="false">IF(D64="OLUMSUZ",1,0)</f>
        <v>1</v>
      </c>
    </row>
    <row r="65" customFormat="false" ht="15" hidden="false" customHeight="true" outlineLevel="0" collapsed="false">
      <c r="A65" s="6" t="n">
        <v>44186</v>
      </c>
      <c r="B65" s="7" t="s">
        <v>9</v>
      </c>
      <c r="C65" s="7" t="s">
        <v>77</v>
      </c>
      <c r="D65" s="7" t="s">
        <v>11</v>
      </c>
      <c r="E65" s="7"/>
      <c r="F65" s="6" t="n">
        <v>44266</v>
      </c>
      <c r="G65" s="2" t="n">
        <v>134</v>
      </c>
      <c r="H65" s="10" t="n">
        <f aca="false">IF(D65="OLUMLU",1,0)</f>
        <v>0</v>
      </c>
      <c r="I65" s="10" t="n">
        <f aca="false">IF(D65="OLUMSUZ",1,0)</f>
        <v>1</v>
      </c>
    </row>
    <row r="66" customFormat="false" ht="15" hidden="false" customHeight="true" outlineLevel="0" collapsed="false">
      <c r="A66" s="6" t="n">
        <v>44186</v>
      </c>
      <c r="B66" s="7" t="s">
        <v>9</v>
      </c>
      <c r="C66" s="7" t="s">
        <v>78</v>
      </c>
      <c r="D66" s="7" t="s">
        <v>13</v>
      </c>
      <c r="E66" s="7"/>
      <c r="F66" s="6" t="n">
        <v>44237</v>
      </c>
      <c r="G66" s="2" t="n">
        <v>420</v>
      </c>
      <c r="H66" s="10" t="n">
        <f aca="false">IF(D66="OLUMLU",1,0)</f>
        <v>1</v>
      </c>
      <c r="I66" s="10" t="n">
        <f aca="false">IF(D66="OLUMSUZ",1,0)</f>
        <v>0</v>
      </c>
    </row>
    <row r="67" customFormat="false" ht="15" hidden="false" customHeight="true" outlineLevel="0" collapsed="false">
      <c r="A67" s="6" t="n">
        <v>44188</v>
      </c>
      <c r="B67" s="7" t="s">
        <v>9</v>
      </c>
      <c r="C67" s="7" t="s">
        <v>79</v>
      </c>
      <c r="D67" s="7" t="s">
        <v>11</v>
      </c>
      <c r="E67" s="7"/>
      <c r="F67" s="6" t="n">
        <v>44294</v>
      </c>
      <c r="G67" s="2" t="n">
        <v>134</v>
      </c>
      <c r="H67" s="10" t="n">
        <f aca="false">IF(D67="OLUMLU",1,0)</f>
        <v>0</v>
      </c>
      <c r="I67" s="10" t="n">
        <f aca="false">IF(D67="OLUMSUZ",1,0)</f>
        <v>1</v>
      </c>
    </row>
    <row r="68" customFormat="false" ht="15" hidden="false" customHeight="true" outlineLevel="0" collapsed="false">
      <c r="A68" s="6" t="n">
        <v>44221</v>
      </c>
      <c r="B68" s="7" t="s">
        <v>19</v>
      </c>
      <c r="C68" s="7" t="s">
        <v>80</v>
      </c>
      <c r="D68" s="7" t="s">
        <v>13</v>
      </c>
      <c r="E68" s="7"/>
      <c r="F68" s="6" t="n">
        <v>44237</v>
      </c>
      <c r="G68" s="2" t="n">
        <v>404</v>
      </c>
      <c r="H68" s="10" t="n">
        <f aca="false">IF(D68="OLUMLU",1,0)</f>
        <v>1</v>
      </c>
      <c r="I68" s="10" t="n">
        <f aca="false">IF(D68="OLUMSUZ",1,0)</f>
        <v>0</v>
      </c>
    </row>
    <row r="69" customFormat="false" ht="15" hidden="false" customHeight="true" outlineLevel="0" collapsed="false">
      <c r="A69" s="6" t="n">
        <v>44224</v>
      </c>
      <c r="B69" s="7" t="s">
        <v>9</v>
      </c>
      <c r="C69" s="7" t="s">
        <v>81</v>
      </c>
      <c r="D69" s="7" t="s">
        <v>11</v>
      </c>
      <c r="E69" s="7"/>
      <c r="F69" s="6" t="n">
        <v>44327</v>
      </c>
      <c r="G69" s="2" t="n">
        <v>134</v>
      </c>
      <c r="H69" s="10" t="n">
        <f aca="false">IF(D69="OLUMLU",1,0)</f>
        <v>0</v>
      </c>
      <c r="I69" s="10" t="n">
        <f aca="false">IF(D69="OLUMSUZ",1,0)</f>
        <v>1</v>
      </c>
    </row>
    <row r="70" customFormat="false" ht="15" hidden="false" customHeight="true" outlineLevel="0" collapsed="false">
      <c r="A70" s="6" t="n">
        <v>44237</v>
      </c>
      <c r="B70" s="7" t="s">
        <v>9</v>
      </c>
      <c r="C70" s="7" t="s">
        <v>82</v>
      </c>
      <c r="D70" s="7" t="s">
        <v>11</v>
      </c>
      <c r="E70" s="7"/>
      <c r="F70" s="6" t="n">
        <v>44294</v>
      </c>
      <c r="G70" s="2" t="n">
        <v>134</v>
      </c>
      <c r="H70" s="10" t="n">
        <f aca="false">IF(D70="OLUMLU",1,0)</f>
        <v>0</v>
      </c>
      <c r="I70" s="10" t="n">
        <f aca="false">IF(D70="OLUMSUZ",1,0)</f>
        <v>1</v>
      </c>
    </row>
    <row r="71" customFormat="false" ht="15" hidden="false" customHeight="true" outlineLevel="0" collapsed="false">
      <c r="A71" s="6" t="n">
        <v>44249</v>
      </c>
      <c r="B71" s="7" t="s">
        <v>9</v>
      </c>
      <c r="C71" s="7" t="s">
        <v>83</v>
      </c>
      <c r="D71" s="7" t="s">
        <v>11</v>
      </c>
      <c r="E71" s="7"/>
      <c r="F71" s="6" t="n">
        <v>44358</v>
      </c>
      <c r="G71" s="2" t="n">
        <v>134</v>
      </c>
      <c r="H71" s="10" t="n">
        <f aca="false">IF(D71="OLUMLU",1,0)</f>
        <v>0</v>
      </c>
      <c r="I71" s="10" t="n">
        <f aca="false">IF(D71="OLUMSUZ",1,0)</f>
        <v>1</v>
      </c>
    </row>
    <row r="72" customFormat="false" ht="15" hidden="false" customHeight="true" outlineLevel="0" collapsed="false">
      <c r="A72" s="6" t="n">
        <v>44271</v>
      </c>
      <c r="B72" s="7" t="s">
        <v>19</v>
      </c>
      <c r="C72" s="7" t="s">
        <v>84</v>
      </c>
      <c r="D72" s="7" t="s">
        <v>13</v>
      </c>
      <c r="E72" s="7"/>
      <c r="F72" s="6" t="n">
        <v>44358</v>
      </c>
      <c r="G72" s="2" t="n">
        <v>404</v>
      </c>
      <c r="H72" s="10" t="n">
        <f aca="false">IF(D72="OLUMLU",1,0)</f>
        <v>1</v>
      </c>
      <c r="I72" s="10" t="n">
        <f aca="false">IF(D72="OLUMSUZ",1,0)</f>
        <v>0</v>
      </c>
    </row>
    <row r="73" customFormat="false" ht="15" hidden="false" customHeight="true" outlineLevel="0" collapsed="false">
      <c r="A73" s="6" t="n">
        <v>44286</v>
      </c>
      <c r="B73" s="7" t="s">
        <v>19</v>
      </c>
      <c r="C73" s="7" t="s">
        <v>85</v>
      </c>
      <c r="D73" s="7" t="s">
        <v>13</v>
      </c>
      <c r="E73" s="7"/>
      <c r="F73" s="6" t="n">
        <v>44358</v>
      </c>
      <c r="G73" s="2" t="n">
        <v>404</v>
      </c>
      <c r="H73" s="10" t="n">
        <f aca="false">IF(D73="OLUMLU",1,0)</f>
        <v>1</v>
      </c>
      <c r="I73" s="10" t="n">
        <f aca="false">IF(D73="OLUMSUZ",1,0)</f>
        <v>0</v>
      </c>
    </row>
    <row r="74" customFormat="false" ht="15" hidden="false" customHeight="true" outlineLevel="0" collapsed="false">
      <c r="A74" s="6" t="n">
        <v>44287</v>
      </c>
      <c r="B74" s="7" t="s">
        <v>19</v>
      </c>
      <c r="C74" s="7" t="s">
        <v>86</v>
      </c>
      <c r="D74" s="7" t="s">
        <v>11</v>
      </c>
      <c r="E74" s="7"/>
      <c r="F74" s="6" t="n">
        <v>44358</v>
      </c>
      <c r="G74" s="2" t="n">
        <v>134</v>
      </c>
      <c r="H74" s="10" t="n">
        <f aca="false">IF(D74="OLUMLU",1,0)</f>
        <v>0</v>
      </c>
      <c r="I74" s="10" t="n">
        <f aca="false">IF(D74="OLUMSUZ",1,0)</f>
        <v>1</v>
      </c>
    </row>
    <row r="75" customFormat="false" ht="15" hidden="false" customHeight="true" outlineLevel="0" collapsed="false">
      <c r="A75" s="6" t="n">
        <v>44294</v>
      </c>
      <c r="B75" s="7" t="s">
        <v>15</v>
      </c>
      <c r="C75" s="7" t="s">
        <v>87</v>
      </c>
      <c r="D75" s="7" t="s">
        <v>11</v>
      </c>
      <c r="E75" s="7"/>
      <c r="F75" s="6" t="n">
        <v>44358</v>
      </c>
      <c r="G75" s="2" t="n">
        <v>134</v>
      </c>
      <c r="H75" s="10" t="n">
        <f aca="false">IF(D75="OLUMLU",1,0)</f>
        <v>0</v>
      </c>
      <c r="I75" s="10" t="n">
        <f aca="false">IF(D75="OLUMSUZ",1,0)</f>
        <v>1</v>
      </c>
    </row>
    <row r="76" customFormat="false" ht="15" hidden="false" customHeight="true" outlineLevel="0" collapsed="false">
      <c r="A76" s="6" t="n">
        <v>44300</v>
      </c>
      <c r="B76" s="7" t="s">
        <v>19</v>
      </c>
      <c r="C76" s="7" t="s">
        <v>88</v>
      </c>
      <c r="D76" s="7" t="s">
        <v>13</v>
      </c>
      <c r="E76" s="7"/>
      <c r="F76" s="6" t="n">
        <v>44358</v>
      </c>
      <c r="G76" s="2" t="n">
        <v>404</v>
      </c>
      <c r="H76" s="10" t="n">
        <f aca="false">IF(D76="OLUMLU",1,0)</f>
        <v>1</v>
      </c>
      <c r="I76" s="10" t="n">
        <f aca="false">IF(D76="OLUMSUZ",1,0)</f>
        <v>0</v>
      </c>
    </row>
    <row r="77" customFormat="false" ht="15" hidden="false" customHeight="true" outlineLevel="0" collapsed="false">
      <c r="A77" s="6" t="n">
        <v>44300</v>
      </c>
      <c r="B77" s="7" t="s">
        <v>19</v>
      </c>
      <c r="C77" s="7" t="s">
        <v>89</v>
      </c>
      <c r="D77" s="7" t="s">
        <v>11</v>
      </c>
      <c r="E77" s="7"/>
      <c r="F77" s="6" t="n">
        <v>44358</v>
      </c>
      <c r="G77" s="2" t="n">
        <v>134</v>
      </c>
      <c r="H77" s="10" t="n">
        <f aca="false">IF(D77="OLUMLU",1,0)</f>
        <v>0</v>
      </c>
      <c r="I77" s="10" t="n">
        <f aca="false">IF(D77="OLUMSUZ",1,0)</f>
        <v>1</v>
      </c>
    </row>
    <row r="78" customFormat="false" ht="15" hidden="false" customHeight="true" outlineLevel="0" collapsed="false">
      <c r="A78" s="6" t="n">
        <v>44307</v>
      </c>
      <c r="B78" s="7" t="s">
        <v>9</v>
      </c>
      <c r="C78" s="7" t="s">
        <v>90</v>
      </c>
      <c r="D78" s="7" t="s">
        <v>13</v>
      </c>
      <c r="E78" s="7"/>
      <c r="F78" s="6" t="n">
        <v>44391</v>
      </c>
      <c r="G78" s="2" t="n">
        <v>479</v>
      </c>
      <c r="H78" s="10" t="n">
        <f aca="false">IF(D78="OLUMLU",1,0)</f>
        <v>1</v>
      </c>
      <c r="I78" s="10" t="n">
        <f aca="false">IF(D78="OLUMSUZ",1,0)</f>
        <v>0</v>
      </c>
    </row>
    <row r="79" customFormat="false" ht="15" hidden="false" customHeight="true" outlineLevel="0" collapsed="false">
      <c r="A79" s="6" t="n">
        <v>44344</v>
      </c>
      <c r="B79" s="7" t="s">
        <v>19</v>
      </c>
      <c r="C79" s="7" t="s">
        <v>91</v>
      </c>
      <c r="D79" s="7" t="s">
        <v>11</v>
      </c>
      <c r="E79" s="7"/>
      <c r="F79" s="6" t="n">
        <v>44391</v>
      </c>
      <c r="G79" s="2" t="n">
        <v>134</v>
      </c>
      <c r="H79" s="10" t="n">
        <f aca="false">IF(D79="OLUMLU",1,0)</f>
        <v>0</v>
      </c>
      <c r="I79" s="10" t="n">
        <f aca="false">IF(D79="OLUMSUZ",1,0)</f>
        <v>1</v>
      </c>
    </row>
    <row r="80" customFormat="false" ht="15" hidden="false" customHeight="true" outlineLevel="0" collapsed="false">
      <c r="A80" s="6" t="n">
        <v>44344</v>
      </c>
      <c r="B80" s="7" t="s">
        <v>19</v>
      </c>
      <c r="C80" s="7" t="s">
        <v>92</v>
      </c>
      <c r="D80" s="7" t="s">
        <v>13</v>
      </c>
      <c r="E80" s="7"/>
      <c r="F80" s="6" t="n">
        <v>44391</v>
      </c>
      <c r="G80" s="2" t="n">
        <v>404</v>
      </c>
      <c r="H80" s="10" t="n">
        <f aca="false">IF(D80="OLUMLU",1,0)</f>
        <v>1</v>
      </c>
      <c r="I80" s="10" t="n">
        <f aca="false">IF(D80="OLUMSUZ",1,0)</f>
        <v>0</v>
      </c>
    </row>
    <row r="81" customFormat="false" ht="15" hidden="false" customHeight="true" outlineLevel="0" collapsed="false">
      <c r="A81" s="6" t="n">
        <v>44344</v>
      </c>
      <c r="B81" s="7" t="s">
        <v>19</v>
      </c>
      <c r="C81" s="7" t="s">
        <v>93</v>
      </c>
      <c r="D81" s="7" t="s">
        <v>11</v>
      </c>
      <c r="E81" s="7"/>
      <c r="F81" s="6" t="n">
        <v>44456</v>
      </c>
      <c r="G81" s="2" t="n">
        <v>200</v>
      </c>
      <c r="H81" s="10" t="n">
        <f aca="false">IF(D81="OLUMLU",1,0)</f>
        <v>0</v>
      </c>
      <c r="I81" s="10" t="n">
        <f aca="false">IF(D81="OLUMSUZ",1,0)</f>
        <v>1</v>
      </c>
    </row>
    <row r="82" customFormat="false" ht="15" hidden="false" customHeight="true" outlineLevel="0" collapsed="false">
      <c r="A82" s="6" t="n">
        <v>44355</v>
      </c>
      <c r="B82" s="7" t="s">
        <v>9</v>
      </c>
      <c r="C82" s="7" t="s">
        <v>94</v>
      </c>
      <c r="D82" s="7" t="s">
        <v>11</v>
      </c>
      <c r="E82" s="7"/>
      <c r="F82" s="6" t="n">
        <v>44443</v>
      </c>
      <c r="G82" s="2" t="n">
        <v>134</v>
      </c>
      <c r="H82" s="10" t="n">
        <f aca="false">IF(D82="OLUMLU",1,0)</f>
        <v>0</v>
      </c>
      <c r="I82" s="10" t="n">
        <f aca="false">IF(D82="OLUMSUZ",1,0)</f>
        <v>1</v>
      </c>
    </row>
    <row r="83" customFormat="false" ht="15" hidden="false" customHeight="true" outlineLevel="0" collapsed="false">
      <c r="A83" s="6" t="n">
        <v>44355</v>
      </c>
      <c r="B83" s="7" t="s">
        <v>19</v>
      </c>
      <c r="C83" s="7" t="s">
        <v>95</v>
      </c>
      <c r="D83" s="7" t="s">
        <v>13</v>
      </c>
      <c r="E83" s="7"/>
      <c r="F83" s="6" t="n">
        <v>44391</v>
      </c>
      <c r="G83" s="2" t="n">
        <v>404</v>
      </c>
      <c r="H83" s="10" t="n">
        <f aca="false">IF(D83="OLUMLU",1,0)</f>
        <v>1</v>
      </c>
      <c r="I83" s="10" t="n">
        <f aca="false">IF(D83="OLUMSUZ",1,0)</f>
        <v>0</v>
      </c>
    </row>
    <row r="84" customFormat="false" ht="15" hidden="false" customHeight="true" outlineLevel="0" collapsed="false">
      <c r="A84" s="6" t="n">
        <v>44377</v>
      </c>
      <c r="B84" s="7" t="s">
        <v>15</v>
      </c>
      <c r="C84" s="7" t="s">
        <v>96</v>
      </c>
      <c r="D84" s="7" t="s">
        <v>11</v>
      </c>
      <c r="E84" s="7"/>
      <c r="F84" s="6" t="n">
        <v>44487</v>
      </c>
      <c r="G84" s="2" t="n">
        <v>134</v>
      </c>
      <c r="H84" s="10" t="n">
        <f aca="false">IF(D84="OLUMLU",1,0)</f>
        <v>0</v>
      </c>
      <c r="I84" s="10" t="n">
        <f aca="false">IF(D84="OLUMSUZ",1,0)</f>
        <v>1</v>
      </c>
    </row>
    <row r="85" customFormat="false" ht="15" hidden="false" customHeight="true" outlineLevel="0" collapsed="false">
      <c r="A85" s="6" t="n">
        <v>44383</v>
      </c>
      <c r="B85" s="7" t="s">
        <v>15</v>
      </c>
      <c r="C85" s="7" t="s">
        <v>97</v>
      </c>
      <c r="D85" s="7" t="s">
        <v>11</v>
      </c>
      <c r="E85" s="7"/>
      <c r="F85" s="6" t="n">
        <v>44445</v>
      </c>
      <c r="G85" s="2" t="n">
        <v>140</v>
      </c>
      <c r="H85" s="10" t="n">
        <f aca="false">IF(D85="OLUMLU",1,0)</f>
        <v>0</v>
      </c>
      <c r="I85" s="10" t="n">
        <f aca="false">IF(D85="OLUMSUZ",1,0)</f>
        <v>1</v>
      </c>
    </row>
    <row r="86" customFormat="false" ht="15" hidden="false" customHeight="true" outlineLevel="0" collapsed="false">
      <c r="A86" s="6" t="n">
        <v>44424</v>
      </c>
      <c r="B86" s="7" t="s">
        <v>15</v>
      </c>
      <c r="C86" s="7" t="s">
        <v>98</v>
      </c>
      <c r="D86" s="7" t="s">
        <v>11</v>
      </c>
      <c r="E86" s="7"/>
      <c r="F86" s="6" t="n">
        <v>44512</v>
      </c>
      <c r="G86" s="2" t="n">
        <v>134</v>
      </c>
      <c r="H86" s="10" t="n">
        <f aca="false">IF(D86="OLUMLU",1,0)</f>
        <v>0</v>
      </c>
      <c r="I86" s="10" t="n">
        <f aca="false">IF(D86="OLUMSUZ",1,0)</f>
        <v>1</v>
      </c>
    </row>
    <row r="87" customFormat="false" ht="15" hidden="false" customHeight="true" outlineLevel="0" collapsed="false">
      <c r="A87" s="6" t="n">
        <v>44432</v>
      </c>
      <c r="B87" s="7" t="s">
        <v>19</v>
      </c>
      <c r="C87" s="7" t="s">
        <v>99</v>
      </c>
      <c r="D87" s="7" t="s">
        <v>11</v>
      </c>
      <c r="E87" s="7"/>
      <c r="F87" s="6" t="n">
        <v>44509</v>
      </c>
      <c r="G87" s="2" t="n">
        <v>134</v>
      </c>
      <c r="H87" s="10" t="n">
        <f aca="false">IF(D87="OLUMLU",1,0)</f>
        <v>0</v>
      </c>
      <c r="I87" s="10" t="n">
        <f aca="false">IF(D87="OLUMSUZ",1,0)</f>
        <v>1</v>
      </c>
    </row>
    <row r="88" customFormat="false" ht="15" hidden="false" customHeight="true" outlineLevel="0" collapsed="false">
      <c r="A88" s="6" t="n">
        <v>44433</v>
      </c>
      <c r="B88" s="7" t="s">
        <v>9</v>
      </c>
      <c r="C88" s="7" t="s">
        <v>100</v>
      </c>
      <c r="D88" s="7" t="s">
        <v>13</v>
      </c>
      <c r="E88" s="7"/>
      <c r="F88" s="6" t="n">
        <v>44482</v>
      </c>
      <c r="G88" s="2" t="n">
        <v>470</v>
      </c>
      <c r="H88" s="10" t="n">
        <f aca="false">IF(D88="OLUMLU",1,0)</f>
        <v>1</v>
      </c>
      <c r="I88" s="10" t="n">
        <f aca="false">IF(D88="OLUMSUZ",1,0)</f>
        <v>0</v>
      </c>
    </row>
    <row r="89" customFormat="false" ht="15" hidden="false" customHeight="true" outlineLevel="0" collapsed="false">
      <c r="A89" s="6" t="n">
        <v>44435</v>
      </c>
      <c r="B89" s="7" t="s">
        <v>9</v>
      </c>
      <c r="C89" s="7" t="s">
        <v>101</v>
      </c>
      <c r="D89" s="7" t="s">
        <v>13</v>
      </c>
      <c r="E89" s="7"/>
      <c r="F89" s="6" t="n">
        <v>44482</v>
      </c>
      <c r="G89" s="2" t="n">
        <v>420</v>
      </c>
      <c r="H89" s="10" t="n">
        <f aca="false">IF(D89="OLUMLU",1,0)</f>
        <v>1</v>
      </c>
      <c r="I89" s="10" t="n">
        <f aca="false">IF(D89="OLUMSUZ",1,0)</f>
        <v>0</v>
      </c>
    </row>
    <row r="90" customFormat="false" ht="15" hidden="false" customHeight="true" outlineLevel="0" collapsed="false">
      <c r="A90" s="6" t="n">
        <v>44454</v>
      </c>
      <c r="B90" s="7" t="s">
        <v>9</v>
      </c>
      <c r="C90" s="7" t="s">
        <v>102</v>
      </c>
      <c r="D90" s="7" t="s">
        <v>13</v>
      </c>
      <c r="E90" s="7"/>
      <c r="F90" s="6" t="n">
        <v>44543</v>
      </c>
      <c r="G90" s="2" t="n">
        <v>420</v>
      </c>
      <c r="H90" s="10" t="n">
        <f aca="false">IF(D90="OLUMLU",1,0)</f>
        <v>1</v>
      </c>
      <c r="I90" s="10" t="n">
        <f aca="false">IF(D90="OLUMSUZ",1,0)</f>
        <v>0</v>
      </c>
    </row>
    <row r="91" customFormat="false" ht="15" hidden="false" customHeight="true" outlineLevel="0" collapsed="false">
      <c r="A91" s="6" t="n">
        <v>44462</v>
      </c>
      <c r="B91" s="7" t="s">
        <v>9</v>
      </c>
      <c r="C91" s="7" t="s">
        <v>103</v>
      </c>
      <c r="D91" s="7" t="s">
        <v>11</v>
      </c>
      <c r="E91" s="7"/>
      <c r="F91" s="6" t="n">
        <v>44543</v>
      </c>
      <c r="G91" s="2" t="n">
        <v>200</v>
      </c>
      <c r="H91" s="10" t="n">
        <f aca="false">IF(D91="OLUMLU",1,0)</f>
        <v>0</v>
      </c>
      <c r="I91" s="10" t="n">
        <f aca="false">IF(D91="OLUMSUZ",1,0)</f>
        <v>1</v>
      </c>
    </row>
    <row r="92" customFormat="false" ht="15" hidden="false" customHeight="true" outlineLevel="0" collapsed="false">
      <c r="A92" s="6" t="n">
        <v>44473</v>
      </c>
      <c r="B92" s="7" t="s">
        <v>9</v>
      </c>
      <c r="C92" s="7" t="s">
        <v>104</v>
      </c>
      <c r="D92" s="7" t="s">
        <v>11</v>
      </c>
      <c r="E92" s="7"/>
      <c r="F92" s="6" t="n">
        <v>44543</v>
      </c>
      <c r="G92" s="2" t="n">
        <v>134</v>
      </c>
      <c r="H92" s="10" t="n">
        <f aca="false">IF(D92="OLUMLU",1,0)</f>
        <v>0</v>
      </c>
      <c r="I92" s="10" t="n">
        <f aca="false">IF(D92="OLUMSUZ",1,0)</f>
        <v>1</v>
      </c>
    </row>
    <row r="93" customFormat="false" ht="15" hidden="false" customHeight="true" outlineLevel="0" collapsed="false">
      <c r="A93" s="6" t="n">
        <v>44487</v>
      </c>
      <c r="B93" s="7" t="s">
        <v>15</v>
      </c>
      <c r="C93" s="7" t="s">
        <v>105</v>
      </c>
      <c r="D93" s="7" t="s">
        <v>13</v>
      </c>
      <c r="E93" s="7"/>
      <c r="F93" s="6" t="n">
        <v>44543</v>
      </c>
      <c r="G93" s="2" t="n">
        <v>404</v>
      </c>
      <c r="H93" s="10" t="n">
        <f aca="false">IF(D93="OLUMLU",1,0)</f>
        <v>1</v>
      </c>
      <c r="I93" s="10" t="n">
        <f aca="false">IF(D93="OLUMSUZ",1,0)</f>
        <v>0</v>
      </c>
    </row>
    <row r="94" customFormat="false" ht="15" hidden="false" customHeight="true" outlineLevel="0" collapsed="false">
      <c r="A94" s="6" t="n">
        <v>44491</v>
      </c>
      <c r="B94" s="7" t="s">
        <v>19</v>
      </c>
      <c r="C94" s="7" t="s">
        <v>106</v>
      </c>
      <c r="D94" s="7" t="s">
        <v>13</v>
      </c>
      <c r="E94" s="7"/>
      <c r="F94" s="6" t="n">
        <v>44540</v>
      </c>
      <c r="G94" s="2" t="n">
        <v>420</v>
      </c>
      <c r="H94" s="10" t="n">
        <f aca="false">IF(D94="OLUMLU",1,0)</f>
        <v>1</v>
      </c>
      <c r="I94" s="10" t="n">
        <f aca="false">IF(D94="OLUMSUZ",1,0)</f>
        <v>0</v>
      </c>
    </row>
    <row r="95" customFormat="false" ht="15" hidden="false" customHeight="true" outlineLevel="0" collapsed="false">
      <c r="A95" s="6" t="n">
        <v>44501</v>
      </c>
      <c r="B95" s="7" t="s">
        <v>19</v>
      </c>
      <c r="C95" s="7" t="s">
        <v>107</v>
      </c>
      <c r="D95" s="7" t="s">
        <v>11</v>
      </c>
      <c r="E95" s="7"/>
      <c r="F95" s="6" t="n">
        <v>44540</v>
      </c>
      <c r="G95" s="2" t="n">
        <v>134</v>
      </c>
      <c r="H95" s="10" t="n">
        <f aca="false">IF(D95="OLUMLU",1,0)</f>
        <v>0</v>
      </c>
      <c r="I95" s="10" t="n">
        <f aca="false">IF(D95="OLUMSUZ",1,0)</f>
        <v>1</v>
      </c>
    </row>
    <row r="96" customFormat="false" ht="15" hidden="false" customHeight="true" outlineLevel="0" collapsed="false">
      <c r="A96" s="6" t="n">
        <v>44502</v>
      </c>
      <c r="B96" s="7" t="s">
        <v>9</v>
      </c>
      <c r="C96" s="7" t="s">
        <v>108</v>
      </c>
      <c r="D96" s="7" t="s">
        <v>13</v>
      </c>
      <c r="E96" s="7"/>
      <c r="F96" s="6" t="n">
        <v>44543</v>
      </c>
      <c r="G96" s="2" t="n">
        <v>420</v>
      </c>
      <c r="H96" s="10" t="n">
        <f aca="false">IF(D96="OLUMLU",1,0)</f>
        <v>1</v>
      </c>
      <c r="I96" s="10" t="n">
        <f aca="false">IF(D96="OLUMSUZ",1,0)</f>
        <v>0</v>
      </c>
    </row>
    <row r="97" customFormat="false" ht="15" hidden="false" customHeight="true" outlineLevel="0" collapsed="false">
      <c r="A97" s="6" t="n">
        <v>44512</v>
      </c>
      <c r="B97" s="7" t="s">
        <v>15</v>
      </c>
      <c r="C97" s="7" t="s">
        <v>109</v>
      </c>
      <c r="D97" s="7" t="s">
        <v>11</v>
      </c>
      <c r="E97" s="7"/>
      <c r="F97" s="6" t="n">
        <v>44581</v>
      </c>
      <c r="G97" s="2" t="n">
        <v>134</v>
      </c>
      <c r="H97" s="10" t="n">
        <f aca="false">IF(D97="OLUMLU",1,0)</f>
        <v>0</v>
      </c>
      <c r="I97" s="10" t="n">
        <f aca="false">IF(D97="OLUMSUZ",1,0)</f>
        <v>1</v>
      </c>
    </row>
    <row r="98" customFormat="false" ht="15" hidden="false" customHeight="true" outlineLevel="0" collapsed="false">
      <c r="A98" s="6" t="n">
        <v>44543</v>
      </c>
      <c r="B98" s="7" t="s">
        <v>9</v>
      </c>
      <c r="C98" s="7" t="s">
        <v>110</v>
      </c>
      <c r="D98" s="7" t="s">
        <v>11</v>
      </c>
      <c r="E98" s="7"/>
      <c r="F98" s="6" t="n">
        <v>44601</v>
      </c>
      <c r="G98" s="2" t="n">
        <v>168</v>
      </c>
      <c r="H98" s="10" t="n">
        <f aca="false">IF(D98="OLUMLU",1,0)</f>
        <v>0</v>
      </c>
      <c r="I98" s="10" t="n">
        <f aca="false">IF(D98="OLUMSUZ",1,0)</f>
        <v>1</v>
      </c>
    </row>
    <row r="99" customFormat="false" ht="15" hidden="false" customHeight="true" outlineLevel="0" collapsed="false">
      <c r="A99" s="6" t="n">
        <v>44553</v>
      </c>
      <c r="B99" s="7" t="s">
        <v>19</v>
      </c>
      <c r="C99" s="7" t="s">
        <v>111</v>
      </c>
      <c r="D99" s="7" t="s">
        <v>11</v>
      </c>
      <c r="E99" s="7"/>
      <c r="F99" s="6" t="n">
        <v>44602</v>
      </c>
      <c r="G99" s="2" t="n">
        <v>168</v>
      </c>
      <c r="H99" s="10" t="n">
        <f aca="false">IF(D99="OLUMLU",1,0)</f>
        <v>0</v>
      </c>
      <c r="I99" s="10" t="n">
        <f aca="false">IF(D99="OLUMSUZ",1,0)</f>
        <v>1</v>
      </c>
    </row>
    <row r="100" customFormat="false" ht="15" hidden="false" customHeight="true" outlineLevel="0" collapsed="false">
      <c r="A100" s="6" t="n">
        <v>44567</v>
      </c>
      <c r="B100" s="7" t="s">
        <v>19</v>
      </c>
      <c r="C100" s="7" t="s">
        <v>112</v>
      </c>
      <c r="D100" s="7" t="s">
        <v>11</v>
      </c>
      <c r="E100" s="7"/>
      <c r="F100" s="6" t="n">
        <v>44656</v>
      </c>
      <c r="G100" s="2" t="n">
        <v>168</v>
      </c>
      <c r="H100" s="10" t="n">
        <f aca="false">IF(D100="OLUMLU",1,0)</f>
        <v>0</v>
      </c>
      <c r="I100" s="10" t="n">
        <f aca="false">IF(D100="OLUMSUZ",1,0)</f>
        <v>1</v>
      </c>
    </row>
    <row r="101" customFormat="false" ht="15" hidden="false" customHeight="true" outlineLevel="0" collapsed="false">
      <c r="A101" s="6" t="n">
        <v>44576</v>
      </c>
      <c r="B101" s="7" t="s">
        <v>9</v>
      </c>
      <c r="C101" s="7" t="s">
        <v>113</v>
      </c>
      <c r="D101" s="7" t="s">
        <v>13</v>
      </c>
      <c r="E101" s="7"/>
      <c r="F101" s="6" t="n">
        <v>44601</v>
      </c>
      <c r="G101" s="2" t="n">
        <v>529</v>
      </c>
      <c r="H101" s="10" t="n">
        <f aca="false">IF(D101="OLUMLU",1,0)</f>
        <v>1</v>
      </c>
      <c r="I101" s="10" t="n">
        <f aca="false">IF(D101="OLUMSUZ",1,0)</f>
        <v>0</v>
      </c>
    </row>
    <row r="102" customFormat="false" ht="15" hidden="false" customHeight="true" outlineLevel="0" collapsed="false">
      <c r="A102" s="6" t="n">
        <v>44581</v>
      </c>
      <c r="B102" s="7" t="s">
        <v>19</v>
      </c>
      <c r="C102" s="7" t="s">
        <v>114</v>
      </c>
      <c r="D102" s="7" t="s">
        <v>13</v>
      </c>
      <c r="E102" s="7"/>
      <c r="F102" s="6" t="n">
        <v>44656</v>
      </c>
      <c r="G102" s="2" t="n">
        <v>168</v>
      </c>
      <c r="H102" s="10" t="n">
        <f aca="false">IF(D102="OLUMLU",1,0)</f>
        <v>1</v>
      </c>
      <c r="I102" s="10" t="n">
        <f aca="false">IF(D102="OLUMSUZ",1,0)</f>
        <v>0</v>
      </c>
    </row>
    <row r="103" customFormat="false" ht="15" hidden="false" customHeight="true" outlineLevel="0" collapsed="false">
      <c r="A103" s="6" t="n">
        <v>44595</v>
      </c>
      <c r="B103" s="7" t="s">
        <v>9</v>
      </c>
      <c r="C103" s="7" t="s">
        <v>115</v>
      </c>
      <c r="D103" s="7" t="s">
        <v>11</v>
      </c>
      <c r="E103" s="7"/>
      <c r="F103" s="6" t="n">
        <v>44694</v>
      </c>
      <c r="G103" s="2" t="n">
        <v>252</v>
      </c>
      <c r="H103" s="10" t="n">
        <f aca="false">IF(D103="OLUMLU",1,0)</f>
        <v>0</v>
      </c>
      <c r="I103" s="10" t="n">
        <f aca="false">IF(D103="OLUMSUZ",1,0)</f>
        <v>1</v>
      </c>
    </row>
    <row r="104" customFormat="false" ht="15" hidden="false" customHeight="true" outlineLevel="0" collapsed="false">
      <c r="A104" s="6" t="n">
        <v>44632</v>
      </c>
      <c r="B104" s="7" t="s">
        <v>9</v>
      </c>
      <c r="C104" s="7" t="s">
        <v>116</v>
      </c>
      <c r="D104" s="7" t="s">
        <v>11</v>
      </c>
      <c r="E104" s="7"/>
      <c r="F104" s="6" t="n">
        <v>44694</v>
      </c>
      <c r="G104" s="2" t="n">
        <v>252</v>
      </c>
      <c r="H104" s="10" t="n">
        <f aca="false">IF(D104="OLUMLU",1,0)</f>
        <v>0</v>
      </c>
      <c r="I104" s="10" t="n">
        <f aca="false">IF(D104="OLUMSUZ",1,0)</f>
        <v>1</v>
      </c>
    </row>
    <row r="105" customFormat="false" ht="15" hidden="false" customHeight="true" outlineLevel="0" collapsed="false">
      <c r="A105" s="6" t="n">
        <v>44657</v>
      </c>
      <c r="B105" s="7" t="s">
        <v>9</v>
      </c>
      <c r="C105" s="7" t="s">
        <v>117</v>
      </c>
      <c r="D105" s="7" t="s">
        <v>11</v>
      </c>
      <c r="E105" s="7"/>
      <c r="F105" s="6" t="n">
        <v>44694</v>
      </c>
      <c r="G105" s="2" t="n">
        <v>294</v>
      </c>
      <c r="H105" s="10" t="n">
        <f aca="false">IF(D105="OLUMLU",1,0)</f>
        <v>0</v>
      </c>
      <c r="I105" s="10" t="n">
        <f aca="false">IF(D105="OLUMSUZ",1,0)</f>
        <v>1</v>
      </c>
    </row>
    <row r="106" customFormat="false" ht="15" hidden="false" customHeight="true" outlineLevel="0" collapsed="false">
      <c r="A106" s="6" t="n">
        <v>44650</v>
      </c>
      <c r="B106" s="7" t="s">
        <v>9</v>
      </c>
      <c r="C106" s="7" t="s">
        <v>118</v>
      </c>
      <c r="D106" s="7" t="s">
        <v>13</v>
      </c>
      <c r="E106" s="7"/>
      <c r="F106" s="6" t="n">
        <v>44694</v>
      </c>
      <c r="G106" s="2" t="n">
        <v>529</v>
      </c>
      <c r="H106" s="10" t="n">
        <f aca="false">IF(D106="OLUMLU",1,0)</f>
        <v>1</v>
      </c>
      <c r="I106" s="10" t="n">
        <f aca="false">IF(D106="OLUMSUZ",1,0)</f>
        <v>0</v>
      </c>
    </row>
    <row r="107" customFormat="false" ht="15" hidden="false" customHeight="true" outlineLevel="0" collapsed="false">
      <c r="A107" s="6" t="n">
        <v>44655</v>
      </c>
      <c r="B107" s="7" t="s">
        <v>19</v>
      </c>
      <c r="C107" s="7" t="s">
        <v>119</v>
      </c>
      <c r="D107" s="7" t="s">
        <v>11</v>
      </c>
      <c r="E107" s="7"/>
      <c r="F107" s="6" t="n">
        <v>44698</v>
      </c>
      <c r="G107" s="2" t="n">
        <v>294</v>
      </c>
      <c r="H107" s="10" t="n">
        <f aca="false">IF(D107="OLUMLU",1,0)</f>
        <v>0</v>
      </c>
      <c r="I107" s="10" t="n">
        <f aca="false">IF(D107="OLUMSUZ",1,0)</f>
        <v>1</v>
      </c>
    </row>
    <row r="108" customFormat="false" ht="15" hidden="false" customHeight="true" outlineLevel="0" collapsed="false">
      <c r="A108" s="6" t="n">
        <v>44704</v>
      </c>
      <c r="B108" s="7" t="s">
        <v>9</v>
      </c>
      <c r="C108" s="7" t="s">
        <v>120</v>
      </c>
      <c r="D108" s="7" t="s">
        <v>11</v>
      </c>
      <c r="E108" s="7"/>
      <c r="F108" s="6" t="n">
        <v>44749</v>
      </c>
      <c r="G108" s="2" t="n">
        <v>403</v>
      </c>
      <c r="H108" s="10" t="n">
        <f aca="false">IF(D108="OLUMLU",1,0)</f>
        <v>0</v>
      </c>
      <c r="I108" s="10" t="n">
        <f aca="false">IF(D108="OLUMSUZ",1,0)</f>
        <v>1</v>
      </c>
    </row>
    <row r="109" customFormat="false" ht="15" hidden="false" customHeight="true" outlineLevel="0" collapsed="false">
      <c r="A109" s="6" t="n">
        <v>44713</v>
      </c>
      <c r="B109" s="7" t="s">
        <v>15</v>
      </c>
      <c r="C109" s="7" t="s">
        <v>121</v>
      </c>
      <c r="D109" s="7" t="s">
        <v>13</v>
      </c>
      <c r="E109" s="7"/>
      <c r="F109" s="6" t="n">
        <v>44750</v>
      </c>
      <c r="G109" s="2" t="n">
        <v>505</v>
      </c>
      <c r="H109" s="10" t="n">
        <f aca="false">IF(D109="OLUMLU",1,0)</f>
        <v>1</v>
      </c>
      <c r="I109" s="10" t="n">
        <f aca="false">IF(D109="OLUMSUZ",1,0)</f>
        <v>0</v>
      </c>
    </row>
    <row r="110" customFormat="false" ht="15" hidden="false" customHeight="true" outlineLevel="0" collapsed="false">
      <c r="A110" s="6" t="n">
        <v>44715</v>
      </c>
      <c r="B110" s="7" t="s">
        <v>9</v>
      </c>
      <c r="C110" s="7" t="s">
        <v>122</v>
      </c>
      <c r="D110" s="7" t="s">
        <v>11</v>
      </c>
      <c r="E110" s="7"/>
      <c r="F110" s="6" t="n">
        <v>44844</v>
      </c>
      <c r="G110" s="2" t="n">
        <v>252</v>
      </c>
      <c r="H110" s="10" t="n">
        <f aca="false">IF(D110="OLUMLU",1,0)</f>
        <v>0</v>
      </c>
      <c r="I110" s="10" t="n">
        <f aca="false">IF(D110="OLUMSUZ",1,0)</f>
        <v>1</v>
      </c>
    </row>
    <row r="111" customFormat="false" ht="15" hidden="false" customHeight="true" outlineLevel="0" collapsed="false">
      <c r="A111" s="6" t="n">
        <v>44725</v>
      </c>
      <c r="B111" s="7" t="s">
        <v>15</v>
      </c>
      <c r="C111" s="7" t="s">
        <v>123</v>
      </c>
      <c r="D111" s="7" t="s">
        <v>11</v>
      </c>
      <c r="E111" s="7"/>
      <c r="F111" s="6" t="n">
        <v>44842</v>
      </c>
      <c r="G111" s="2" t="n">
        <v>252</v>
      </c>
      <c r="H111" s="10" t="n">
        <f aca="false">IF(D111="OLUMLU",1,0)</f>
        <v>0</v>
      </c>
      <c r="I111" s="10" t="n">
        <f aca="false">IF(D111="OLUMSUZ",1,0)</f>
        <v>1</v>
      </c>
    </row>
    <row r="112" customFormat="false" ht="15" hidden="false" customHeight="true" outlineLevel="0" collapsed="false">
      <c r="A112" s="6" t="n">
        <v>44732</v>
      </c>
      <c r="B112" s="7" t="s">
        <v>9</v>
      </c>
      <c r="C112" s="7" t="s">
        <v>124</v>
      </c>
      <c r="D112" s="7" t="s">
        <v>11</v>
      </c>
      <c r="E112" s="7"/>
      <c r="F112" s="6" t="n">
        <v>44799</v>
      </c>
      <c r="G112" s="2" t="n">
        <v>252</v>
      </c>
      <c r="H112" s="10" t="n">
        <f aca="false">IF(D112="OLUMLU",1,0)</f>
        <v>0</v>
      </c>
      <c r="I112" s="10" t="n">
        <f aca="false">IF(D112="OLUMSUZ",1,0)</f>
        <v>1</v>
      </c>
    </row>
    <row r="113" customFormat="false" ht="15" hidden="false" customHeight="true" outlineLevel="0" collapsed="false">
      <c r="A113" s="6" t="n">
        <v>44743</v>
      </c>
      <c r="B113" s="7" t="s">
        <v>19</v>
      </c>
      <c r="C113" s="7" t="s">
        <v>125</v>
      </c>
      <c r="D113" s="7" t="s">
        <v>11</v>
      </c>
      <c r="E113" s="7"/>
      <c r="F113" s="6" t="n">
        <v>44812</v>
      </c>
      <c r="G113" s="2" t="n">
        <v>168</v>
      </c>
      <c r="H113" s="10" t="n">
        <f aca="false">IF(D113="OLUMLU",1,0)</f>
        <v>0</v>
      </c>
      <c r="I113" s="10" t="n">
        <f aca="false">IF(D113="OLUMSUZ",1,0)</f>
        <v>1</v>
      </c>
    </row>
    <row r="114" customFormat="false" ht="15" hidden="false" customHeight="true" outlineLevel="0" collapsed="false">
      <c r="A114" s="6" t="n">
        <v>44743</v>
      </c>
      <c r="B114" s="7" t="s">
        <v>19</v>
      </c>
      <c r="C114" s="7" t="s">
        <v>126</v>
      </c>
      <c r="D114" s="7" t="s">
        <v>13</v>
      </c>
      <c r="E114" s="7"/>
      <c r="F114" s="6" t="n">
        <v>44784</v>
      </c>
      <c r="G114" s="2" t="n">
        <v>505</v>
      </c>
      <c r="H114" s="10" t="n">
        <f aca="false">IF(D114="OLUMLU",1,0)</f>
        <v>1</v>
      </c>
      <c r="I114" s="10" t="n">
        <f aca="false">IF(D114="OLUMSUZ",1,0)</f>
        <v>0</v>
      </c>
    </row>
    <row r="115" customFormat="false" ht="15" hidden="false" customHeight="true" outlineLevel="0" collapsed="false">
      <c r="A115" s="6" t="n">
        <v>44728</v>
      </c>
      <c r="B115" s="7" t="s">
        <v>15</v>
      </c>
      <c r="C115" s="7" t="s">
        <v>127</v>
      </c>
      <c r="D115" s="7" t="s">
        <v>11</v>
      </c>
      <c r="E115" s="7"/>
      <c r="F115" s="6" t="n">
        <v>44879</v>
      </c>
      <c r="G115" s="2" t="n">
        <v>294</v>
      </c>
      <c r="H115" s="10" t="n">
        <f aca="false">IF(D115="OLUMLU",1,0)</f>
        <v>0</v>
      </c>
      <c r="I115" s="10" t="n">
        <f aca="false">IF(D115="OLUMSUZ",1,0)</f>
        <v>1</v>
      </c>
    </row>
    <row r="116" customFormat="false" ht="15" hidden="false" customHeight="true" outlineLevel="0" collapsed="false">
      <c r="A116" s="6" t="n">
        <v>44846</v>
      </c>
      <c r="B116" s="7" t="s">
        <v>15</v>
      </c>
      <c r="C116" s="7" t="s">
        <v>128</v>
      </c>
      <c r="D116" s="7" t="s">
        <v>11</v>
      </c>
      <c r="E116" s="7"/>
      <c r="F116" s="6" t="n">
        <v>44942</v>
      </c>
      <c r="G116" s="2" t="n">
        <v>168</v>
      </c>
      <c r="H116" s="10" t="n">
        <f aca="false">IF(D116="OLUMLU",1,0)</f>
        <v>0</v>
      </c>
      <c r="I116" s="10" t="n">
        <f aca="false">IF(D116="OLUMSUZ",1,0)</f>
        <v>1</v>
      </c>
    </row>
    <row r="117" customFormat="false" ht="15" hidden="false" customHeight="true" outlineLevel="0" collapsed="false">
      <c r="A117" s="6" t="n">
        <v>44848</v>
      </c>
      <c r="B117" s="7" t="s">
        <v>15</v>
      </c>
      <c r="C117" s="7" t="s">
        <v>129</v>
      </c>
      <c r="D117" s="7" t="s">
        <v>11</v>
      </c>
      <c r="E117" s="7"/>
      <c r="F117" s="6" t="n">
        <v>44992</v>
      </c>
      <c r="G117" s="2" t="n">
        <v>550</v>
      </c>
      <c r="H117" s="10" t="n">
        <f aca="false">IF(D117="OLUMLU",1,0)</f>
        <v>0</v>
      </c>
      <c r="I117" s="10" t="n">
        <f aca="false">IF(D117="OLUMSUZ",1,0)</f>
        <v>1</v>
      </c>
    </row>
    <row r="118" customFormat="false" ht="15" hidden="false" customHeight="true" outlineLevel="0" collapsed="false">
      <c r="A118" s="6" t="n">
        <v>44849</v>
      </c>
      <c r="B118" s="7" t="s">
        <v>9</v>
      </c>
      <c r="C118" s="7" t="s">
        <v>130</v>
      </c>
      <c r="D118" s="7" t="s">
        <v>13</v>
      </c>
      <c r="E118" s="7"/>
      <c r="F118" s="6" t="n">
        <v>44844</v>
      </c>
      <c r="G118" s="2" t="n">
        <v>529</v>
      </c>
      <c r="H118" s="10" t="n">
        <f aca="false">IF(D118="OLUMLU",1,0)</f>
        <v>1</v>
      </c>
      <c r="I118" s="10" t="n">
        <f aca="false">IF(D118="OLUMSUZ",1,0)</f>
        <v>0</v>
      </c>
    </row>
    <row r="119" customFormat="false" ht="15" hidden="false" customHeight="true" outlineLevel="0" collapsed="false">
      <c r="A119" s="6" t="n">
        <v>44795</v>
      </c>
      <c r="B119" s="7" t="s">
        <v>9</v>
      </c>
      <c r="C119" s="7" t="s">
        <v>131</v>
      </c>
      <c r="D119" s="7" t="s">
        <v>11</v>
      </c>
      <c r="E119" s="7"/>
      <c r="F119" s="6" t="n">
        <v>44876</v>
      </c>
      <c r="G119" s="2" t="n">
        <v>168</v>
      </c>
      <c r="H119" s="10" t="n">
        <f aca="false">IF(D119="OLUMLU",1,0)</f>
        <v>0</v>
      </c>
      <c r="I119" s="10" t="n">
        <f aca="false">IF(D119="OLUMSUZ",1,0)</f>
        <v>1</v>
      </c>
    </row>
    <row r="120" customFormat="false" ht="15" hidden="false" customHeight="true" outlineLevel="0" collapsed="false">
      <c r="A120" s="6" t="n">
        <v>44854</v>
      </c>
      <c r="B120" s="7" t="s">
        <v>19</v>
      </c>
      <c r="C120" s="7" t="s">
        <v>132</v>
      </c>
      <c r="D120" s="7" t="s">
        <v>13</v>
      </c>
      <c r="E120" s="7"/>
      <c r="F120" s="6" t="n">
        <v>44903</v>
      </c>
      <c r="G120" s="2" t="n">
        <v>756</v>
      </c>
      <c r="H120" s="10" t="n">
        <f aca="false">IF(D120="OLUMLU",1,0)</f>
        <v>1</v>
      </c>
      <c r="I120" s="10" t="n">
        <f aca="false">IF(D120="OLUMSUZ",1,0)</f>
        <v>0</v>
      </c>
    </row>
    <row r="121" customFormat="false" ht="15" hidden="false" customHeight="true" outlineLevel="0" collapsed="false">
      <c r="A121" s="6" t="n">
        <v>44860</v>
      </c>
      <c r="B121" s="7" t="s">
        <v>9</v>
      </c>
      <c r="C121" s="7" t="s">
        <v>133</v>
      </c>
      <c r="D121" s="7" t="s">
        <v>13</v>
      </c>
      <c r="E121" s="7"/>
      <c r="F121" s="6" t="n">
        <v>44876</v>
      </c>
      <c r="G121" s="2" t="n">
        <v>529</v>
      </c>
      <c r="H121" s="10" t="n">
        <f aca="false">IF(D121="OLUMLU",1,0)</f>
        <v>1</v>
      </c>
      <c r="I121" s="10" t="n">
        <f aca="false">IF(D121="OLUMSUZ",1,0)</f>
        <v>0</v>
      </c>
    </row>
    <row r="122" customFormat="false" ht="15" hidden="false" customHeight="true" outlineLevel="0" collapsed="false">
      <c r="A122" s="6" t="n">
        <v>44862</v>
      </c>
      <c r="B122" s="7" t="s">
        <v>9</v>
      </c>
      <c r="C122" s="7" t="s">
        <v>134</v>
      </c>
      <c r="D122" s="7" t="s">
        <v>13</v>
      </c>
      <c r="E122" s="7"/>
      <c r="F122" s="6" t="n">
        <v>44916</v>
      </c>
      <c r="G122" s="2" t="n">
        <v>529</v>
      </c>
      <c r="H122" s="10" t="n">
        <f aca="false">IF(D122="OLUMLU",1,0)</f>
        <v>1</v>
      </c>
      <c r="I122" s="10" t="n">
        <f aca="false">IF(D122="OLUMSUZ",1,0)</f>
        <v>0</v>
      </c>
    </row>
    <row r="123" customFormat="false" ht="15" hidden="false" customHeight="true" outlineLevel="0" collapsed="false">
      <c r="A123" s="6" t="n">
        <v>44888</v>
      </c>
      <c r="B123" s="7" t="s">
        <v>15</v>
      </c>
      <c r="C123" s="7" t="s">
        <v>135</v>
      </c>
      <c r="D123" s="7" t="s">
        <v>13</v>
      </c>
      <c r="E123" s="7"/>
      <c r="F123" s="6" t="n">
        <v>44992</v>
      </c>
      <c r="G123" s="2" t="n">
        <v>1000</v>
      </c>
      <c r="H123" s="10" t="n">
        <f aca="false">IF(D123="OLUMLU",1,0)</f>
        <v>1</v>
      </c>
      <c r="I123" s="10" t="n">
        <f aca="false">IF(D123="OLUMSUZ",1,0)</f>
        <v>0</v>
      </c>
    </row>
    <row r="124" customFormat="false" ht="15" hidden="false" customHeight="true" outlineLevel="0" collapsed="false">
      <c r="A124" s="6" t="n">
        <v>44897</v>
      </c>
      <c r="B124" s="7" t="s">
        <v>19</v>
      </c>
      <c r="C124" s="7" t="s">
        <v>136</v>
      </c>
      <c r="D124" s="7" t="s">
        <v>11</v>
      </c>
      <c r="E124" s="7"/>
      <c r="F124" s="6" t="n">
        <v>44950</v>
      </c>
      <c r="G124" s="2" t="n">
        <v>336</v>
      </c>
      <c r="H124" s="10" t="n">
        <f aca="false">IF(D124="OLUMLU",1,0)</f>
        <v>0</v>
      </c>
      <c r="I124" s="10" t="n">
        <f aca="false">IF(D124="OLUMSUZ",1,0)</f>
        <v>1</v>
      </c>
    </row>
    <row r="125" customFormat="false" ht="15" hidden="false" customHeight="true" outlineLevel="0" collapsed="false">
      <c r="A125" s="6" t="n">
        <v>44909</v>
      </c>
      <c r="B125" s="7" t="s">
        <v>9</v>
      </c>
      <c r="C125" s="7" t="s">
        <v>137</v>
      </c>
      <c r="D125" s="7" t="s">
        <v>11</v>
      </c>
      <c r="E125" s="7"/>
      <c r="F125" s="6" t="n">
        <v>44942</v>
      </c>
      <c r="G125" s="2" t="n">
        <v>588</v>
      </c>
      <c r="H125" s="10" t="n">
        <f aca="false">IF(D125="OLUMLU",1,0)</f>
        <v>0</v>
      </c>
      <c r="I125" s="10" t="n">
        <f aca="false">IF(D125="OLUMSUZ",1,0)</f>
        <v>1</v>
      </c>
    </row>
    <row r="126" customFormat="false" ht="15" hidden="false" customHeight="true" outlineLevel="0" collapsed="false">
      <c r="A126" s="6" t="n">
        <v>44909</v>
      </c>
      <c r="B126" s="7" t="s">
        <v>9</v>
      </c>
      <c r="C126" s="7" t="s">
        <v>138</v>
      </c>
      <c r="D126" s="7" t="s">
        <v>11</v>
      </c>
      <c r="E126" s="7"/>
      <c r="F126" s="6" t="n">
        <v>44998</v>
      </c>
      <c r="G126" s="2" t="n">
        <v>420</v>
      </c>
      <c r="H126" s="10" t="n">
        <f aca="false">IF(D126="OLUMLU",1,0)</f>
        <v>0</v>
      </c>
      <c r="I126" s="10" t="n">
        <f aca="false">IF(D126="OLUMSUZ",1,0)</f>
        <v>1</v>
      </c>
    </row>
    <row r="127" customFormat="false" ht="15" hidden="false" customHeight="true" outlineLevel="0" collapsed="false">
      <c r="A127" s="6" t="n">
        <v>44912</v>
      </c>
      <c r="B127" s="7" t="s">
        <v>15</v>
      </c>
      <c r="C127" s="7" t="s">
        <v>139</v>
      </c>
      <c r="D127" s="7" t="s">
        <v>11</v>
      </c>
      <c r="E127" s="7"/>
      <c r="F127" s="6" t="n">
        <v>44992</v>
      </c>
      <c r="G127" s="2" t="n">
        <v>336</v>
      </c>
      <c r="H127" s="10" t="n">
        <f aca="false">IF(D127="OLUMLU",1,0)</f>
        <v>0</v>
      </c>
      <c r="I127" s="10" t="n">
        <f aca="false">IF(D127="OLUMSUZ",1,0)</f>
        <v>1</v>
      </c>
    </row>
    <row r="128" customFormat="false" ht="15" hidden="false" customHeight="true" outlineLevel="0" collapsed="false">
      <c r="A128" s="6" t="n">
        <v>44921</v>
      </c>
      <c r="B128" s="7" t="s">
        <v>15</v>
      </c>
      <c r="C128" s="7" t="s">
        <v>140</v>
      </c>
      <c r="D128" s="7" t="s">
        <v>11</v>
      </c>
      <c r="E128" s="7"/>
      <c r="F128" s="6" t="n">
        <v>44991</v>
      </c>
      <c r="G128" s="2" t="n">
        <v>336</v>
      </c>
      <c r="H128" s="10" t="n">
        <f aca="false">IF(D128="OLUMLU",1,0)</f>
        <v>0</v>
      </c>
      <c r="I128" s="10" t="n">
        <f aca="false">IF(D128="OLUMSUZ",1,0)</f>
        <v>1</v>
      </c>
    </row>
    <row r="129" customFormat="false" ht="15" hidden="false" customHeight="true" outlineLevel="0" collapsed="false">
      <c r="A129" s="6" t="n">
        <v>44938</v>
      </c>
      <c r="B129" s="7" t="s">
        <v>19</v>
      </c>
      <c r="C129" s="7" t="s">
        <v>141</v>
      </c>
      <c r="D129" s="7" t="s">
        <v>11</v>
      </c>
      <c r="E129" s="7"/>
      <c r="F129" s="6" t="n">
        <v>44991</v>
      </c>
      <c r="G129" s="2" t="n">
        <v>381</v>
      </c>
      <c r="H129" s="10" t="n">
        <f aca="false">IF(D129="OLUMLU",1,0)</f>
        <v>0</v>
      </c>
      <c r="I129" s="10" t="n">
        <f aca="false">IF(D129="OLUMSUZ",1,0)</f>
        <v>1</v>
      </c>
    </row>
    <row r="130" customFormat="false" ht="15" hidden="false" customHeight="true" outlineLevel="0" collapsed="false">
      <c r="A130" s="6" t="n">
        <v>44946</v>
      </c>
      <c r="B130" s="7" t="s">
        <v>19</v>
      </c>
      <c r="C130" s="7" t="s">
        <v>142</v>
      </c>
      <c r="D130" s="7" t="s">
        <v>11</v>
      </c>
      <c r="E130" s="7"/>
      <c r="F130" s="6" t="n">
        <v>44991</v>
      </c>
      <c r="G130" s="2" t="n">
        <v>381</v>
      </c>
      <c r="H130" s="10" t="n">
        <f aca="false">IF(D130="OLUMLU",1,0)</f>
        <v>0</v>
      </c>
      <c r="I130" s="10" t="n">
        <f aca="false">IF(D130="OLUMSUZ",1,0)</f>
        <v>1</v>
      </c>
    </row>
    <row r="131" customFormat="false" ht="15" hidden="false" customHeight="true" outlineLevel="0" collapsed="false">
      <c r="A131" s="6" t="n">
        <v>44971</v>
      </c>
      <c r="B131" s="7" t="s">
        <v>15</v>
      </c>
      <c r="C131" s="7" t="s">
        <v>142</v>
      </c>
      <c r="D131" s="7" t="s">
        <v>11</v>
      </c>
      <c r="E131" s="7"/>
      <c r="F131" s="6" t="n">
        <v>45057</v>
      </c>
      <c r="G131" s="2" t="n">
        <v>336</v>
      </c>
      <c r="H131" s="10" t="n">
        <f aca="false">IF(D131="OLUMLU",1,0)</f>
        <v>0</v>
      </c>
      <c r="I131" s="10" t="n">
        <f aca="false">IF(D131="OLUMSUZ",1,0)</f>
        <v>1</v>
      </c>
    </row>
    <row r="132" customFormat="false" ht="15" hidden="false" customHeight="true" outlineLevel="0" collapsed="false">
      <c r="A132" s="6" t="n">
        <v>44971</v>
      </c>
      <c r="B132" s="7" t="s">
        <v>15</v>
      </c>
      <c r="C132" s="7" t="s">
        <v>143</v>
      </c>
      <c r="D132" s="7" t="s">
        <v>11</v>
      </c>
      <c r="E132" s="7"/>
      <c r="F132" s="6" t="n">
        <v>45057</v>
      </c>
      <c r="G132" s="2" t="n">
        <v>336</v>
      </c>
      <c r="H132" s="10" t="n">
        <f aca="false">IF(D132="OLUMLU",1,0)</f>
        <v>0</v>
      </c>
      <c r="I132" s="10" t="n">
        <f aca="false">IF(D132="OLUMSUZ",1,0)</f>
        <v>1</v>
      </c>
    </row>
    <row r="133" customFormat="false" ht="15" hidden="false" customHeight="true" outlineLevel="0" collapsed="false">
      <c r="A133" s="6" t="n">
        <v>44972</v>
      </c>
      <c r="B133" s="7" t="s">
        <v>15</v>
      </c>
      <c r="C133" s="7" t="s">
        <v>144</v>
      </c>
      <c r="D133" s="7" t="s">
        <v>11</v>
      </c>
      <c r="E133" s="7"/>
      <c r="F133" s="6" t="n">
        <v>45152</v>
      </c>
      <c r="G133" s="2" t="n">
        <v>336</v>
      </c>
      <c r="H133" s="10" t="n">
        <f aca="false">IF(D133="OLUMLU",1,0)</f>
        <v>0</v>
      </c>
      <c r="I133" s="10" t="n">
        <f aca="false">IF(D133="OLUMSUZ",1,0)</f>
        <v>1</v>
      </c>
    </row>
    <row r="134" customFormat="false" ht="15" hidden="false" customHeight="true" outlineLevel="0" collapsed="false">
      <c r="A134" s="6" t="n">
        <v>45008</v>
      </c>
      <c r="B134" s="7" t="s">
        <v>15</v>
      </c>
      <c r="C134" s="7" t="s">
        <v>145</v>
      </c>
      <c r="D134" s="7" t="s">
        <v>11</v>
      </c>
      <c r="E134" s="7"/>
      <c r="F134" s="6" t="n">
        <v>45204</v>
      </c>
      <c r="G134" s="2" t="n">
        <v>420</v>
      </c>
      <c r="H134" s="10" t="n">
        <f aca="false">IF(D134="OLUMLU",1,0)</f>
        <v>0</v>
      </c>
      <c r="I134" s="10" t="n">
        <f aca="false">IF(D134="OLUMSUZ",1,0)</f>
        <v>1</v>
      </c>
    </row>
    <row r="135" customFormat="false" ht="15" hidden="false" customHeight="true" outlineLevel="0" collapsed="false">
      <c r="A135" s="6" t="n">
        <v>45008</v>
      </c>
      <c r="B135" s="7" t="s">
        <v>9</v>
      </c>
      <c r="C135" s="7" t="s">
        <v>146</v>
      </c>
      <c r="D135" s="7" t="s">
        <v>13</v>
      </c>
      <c r="E135" s="7"/>
      <c r="F135" s="6" t="n">
        <v>45100</v>
      </c>
      <c r="G135" s="2" t="n">
        <v>1176</v>
      </c>
      <c r="H135" s="10" t="n">
        <f aca="false">IF(D135="OLUMLU",1,0)</f>
        <v>1</v>
      </c>
      <c r="I135" s="10" t="n">
        <f aca="false">IF(D135="OLUMSUZ",1,0)</f>
        <v>0</v>
      </c>
    </row>
    <row r="136" customFormat="false" ht="15" hidden="false" customHeight="true" outlineLevel="0" collapsed="false">
      <c r="A136" s="6" t="n">
        <v>45041</v>
      </c>
      <c r="B136" s="7" t="s">
        <v>9</v>
      </c>
      <c r="C136" s="7" t="s">
        <v>147</v>
      </c>
      <c r="D136" s="7" t="s">
        <v>11</v>
      </c>
      <c r="E136" s="7"/>
      <c r="F136" s="6" t="n">
        <v>45152</v>
      </c>
      <c r="G136" s="2" t="n">
        <v>336</v>
      </c>
      <c r="H136" s="10" t="n">
        <f aca="false">IF(D136="OLUMLU",1,0)</f>
        <v>0</v>
      </c>
      <c r="I136" s="10" t="n">
        <f aca="false">IF(D136="OLUMSUZ",1,0)</f>
        <v>1</v>
      </c>
    </row>
    <row r="137" customFormat="false" ht="15" hidden="false" customHeight="true" outlineLevel="0" collapsed="false">
      <c r="A137" s="6" t="n">
        <v>45048</v>
      </c>
      <c r="B137" s="7" t="s">
        <v>15</v>
      </c>
      <c r="C137" s="7" t="s">
        <v>148</v>
      </c>
      <c r="D137" s="7" t="s">
        <v>11</v>
      </c>
      <c r="E137" s="7"/>
      <c r="F137" s="6" t="n">
        <v>45099</v>
      </c>
      <c r="G137" s="2" t="n">
        <v>336</v>
      </c>
      <c r="H137" s="10" t="n">
        <f aca="false">IF(D137="OLUMLU",1,0)</f>
        <v>0</v>
      </c>
      <c r="I137" s="10" t="n">
        <f aca="false">IF(D137="OLUMSUZ",1,0)</f>
        <v>1</v>
      </c>
    </row>
    <row r="138" customFormat="false" ht="15" hidden="false" customHeight="true" outlineLevel="0" collapsed="false">
      <c r="A138" s="6" t="n">
        <v>45053</v>
      </c>
      <c r="B138" s="7" t="s">
        <v>9</v>
      </c>
      <c r="C138" s="7" t="s">
        <v>149</v>
      </c>
      <c r="D138" s="7" t="s">
        <v>13</v>
      </c>
      <c r="E138" s="7"/>
      <c r="F138" s="6" t="n">
        <v>45100</v>
      </c>
      <c r="G138" s="2" t="n">
        <v>1176</v>
      </c>
      <c r="H138" s="10" t="n">
        <f aca="false">IF(D138="OLUMLU",1,0)</f>
        <v>1</v>
      </c>
      <c r="I138" s="10" t="n">
        <f aca="false">IF(D138="OLUMSUZ",1,0)</f>
        <v>0</v>
      </c>
    </row>
    <row r="139" customFormat="false" ht="15" hidden="false" customHeight="true" outlineLevel="0" collapsed="false">
      <c r="A139" s="6" t="n">
        <v>45054</v>
      </c>
      <c r="B139" s="7" t="s">
        <v>9</v>
      </c>
      <c r="C139" s="7" t="s">
        <v>150</v>
      </c>
      <c r="D139" s="7" t="s">
        <v>11</v>
      </c>
      <c r="E139" s="7"/>
      <c r="F139" s="6" t="n">
        <v>45100</v>
      </c>
      <c r="G139" s="2" t="n">
        <v>420</v>
      </c>
      <c r="H139" s="10" t="n">
        <f aca="false">IF(D139="OLUMLU",1,0)</f>
        <v>0</v>
      </c>
      <c r="I139" s="10" t="n">
        <f aca="false">IF(D139="OLUMSUZ",1,0)</f>
        <v>1</v>
      </c>
    </row>
    <row r="140" customFormat="false" ht="15" hidden="false" customHeight="true" outlineLevel="0" collapsed="false">
      <c r="A140" s="6" t="n">
        <v>45079</v>
      </c>
      <c r="B140" s="7" t="s">
        <v>9</v>
      </c>
      <c r="C140" s="7" t="s">
        <v>151</v>
      </c>
      <c r="D140" s="7" t="s">
        <v>13</v>
      </c>
      <c r="E140" s="7"/>
      <c r="F140" s="6" t="n">
        <v>45152</v>
      </c>
      <c r="G140" s="2" t="n">
        <v>1260</v>
      </c>
      <c r="H140" s="10" t="n">
        <f aca="false">IF(D140="OLUMLU",1,0)</f>
        <v>1</v>
      </c>
      <c r="I140" s="10" t="n">
        <f aca="false">IF(D140="OLUMSUZ",1,0)</f>
        <v>0</v>
      </c>
    </row>
    <row r="141" customFormat="false" ht="15" hidden="false" customHeight="true" outlineLevel="0" collapsed="false">
      <c r="A141" s="6" t="n">
        <v>45097</v>
      </c>
      <c r="B141" s="7" t="s">
        <v>9</v>
      </c>
      <c r="C141" s="7" t="s">
        <v>152</v>
      </c>
      <c r="D141" s="7" t="s">
        <v>13</v>
      </c>
      <c r="E141" s="7"/>
      <c r="F141" s="6" t="n">
        <v>45152</v>
      </c>
      <c r="G141" s="2" t="n">
        <v>1260</v>
      </c>
      <c r="H141" s="10" t="n">
        <f aca="false">IF(D141="OLUMLU",1,0)</f>
        <v>1</v>
      </c>
      <c r="I141" s="10" t="n">
        <f aca="false">IF(D141="OLUMSUZ",1,0)</f>
        <v>0</v>
      </c>
    </row>
    <row r="142" customFormat="false" ht="15" hidden="false" customHeight="true" outlineLevel="0" collapsed="false">
      <c r="A142" s="6" t="n">
        <v>45097</v>
      </c>
      <c r="B142" s="7" t="s">
        <v>9</v>
      </c>
      <c r="C142" s="7" t="s">
        <v>153</v>
      </c>
      <c r="D142" s="7" t="s">
        <v>13</v>
      </c>
      <c r="E142" s="7"/>
      <c r="F142" s="6" t="n">
        <v>45152</v>
      </c>
      <c r="G142" s="2" t="n">
        <v>1500</v>
      </c>
      <c r="H142" s="10" t="n">
        <f aca="false">IF(D142="OLUMLU",1,0)</f>
        <v>1</v>
      </c>
      <c r="I142" s="10" t="n">
        <f aca="false">IF(D142="OLUMSUZ",1,0)</f>
        <v>0</v>
      </c>
    </row>
    <row r="143" customFormat="false" ht="15" hidden="false" customHeight="true" outlineLevel="0" collapsed="false">
      <c r="A143" s="6" t="n">
        <v>45129</v>
      </c>
      <c r="B143" s="7" t="s">
        <v>9</v>
      </c>
      <c r="C143" s="7" t="s">
        <v>154</v>
      </c>
      <c r="D143" s="7" t="s">
        <v>11</v>
      </c>
      <c r="E143" s="7"/>
      <c r="F143" s="6" t="n">
        <v>45259</v>
      </c>
      <c r="G143" s="2" t="n">
        <v>462</v>
      </c>
      <c r="H143" s="10" t="n">
        <f aca="false">IF(D143="OLUMLU",1,0)</f>
        <v>0</v>
      </c>
      <c r="I143" s="10" t="n">
        <f aca="false">IF(D143="OLUMSUZ",1,0)</f>
        <v>1</v>
      </c>
    </row>
    <row r="144" customFormat="false" ht="15" hidden="false" customHeight="true" outlineLevel="0" collapsed="false">
      <c r="A144" s="6" t="n">
        <v>45210</v>
      </c>
      <c r="B144" s="7" t="s">
        <v>19</v>
      </c>
      <c r="C144" s="7" t="s">
        <v>155</v>
      </c>
      <c r="D144" s="7" t="s">
        <v>13</v>
      </c>
      <c r="E144" s="7"/>
      <c r="F144" s="6" t="n">
        <v>45260</v>
      </c>
      <c r="G144" s="2" t="n">
        <v>1428</v>
      </c>
      <c r="H144" s="10" t="n">
        <f aca="false">IF(D144="OLUMLU",1,0)</f>
        <v>1</v>
      </c>
      <c r="I144" s="10" t="n">
        <f aca="false">IF(D144="OLUMSUZ",1,0)</f>
        <v>0</v>
      </c>
    </row>
    <row r="145" customFormat="false" ht="15" hidden="false" customHeight="true" outlineLevel="0" collapsed="false">
      <c r="A145" s="6" t="n">
        <v>45218</v>
      </c>
      <c r="B145" s="7" t="s">
        <v>9</v>
      </c>
      <c r="C145" s="7" t="s">
        <v>156</v>
      </c>
      <c r="D145" s="7" t="s">
        <v>11</v>
      </c>
      <c r="E145" s="7"/>
      <c r="F145" s="6" t="n">
        <v>45279</v>
      </c>
      <c r="G145" s="2" t="n">
        <v>420</v>
      </c>
      <c r="H145" s="10" t="n">
        <f aca="false">IF(D145="OLUMLU",1,0)</f>
        <v>0</v>
      </c>
      <c r="I145" s="10" t="n">
        <f aca="false">IF(D145="OLUMSUZ",1,0)</f>
        <v>1</v>
      </c>
    </row>
    <row r="146" customFormat="false" ht="15" hidden="false" customHeight="true" outlineLevel="0" collapsed="false">
      <c r="A146" s="6" t="n">
        <v>45218</v>
      </c>
      <c r="B146" s="7" t="s">
        <v>9</v>
      </c>
      <c r="C146" s="7" t="s">
        <v>157</v>
      </c>
      <c r="D146" s="7" t="s">
        <v>11</v>
      </c>
      <c r="E146" s="7"/>
      <c r="F146" s="6" t="n">
        <v>45279</v>
      </c>
      <c r="G146" s="2" t="n">
        <v>420</v>
      </c>
      <c r="H146" s="10" t="n">
        <f aca="false">IF(D146="OLUMLU",1,0)</f>
        <v>0</v>
      </c>
      <c r="I146" s="10" t="n">
        <f aca="false">IF(D146="OLUMSUZ",1,0)</f>
        <v>1</v>
      </c>
    </row>
    <row r="147" customFormat="false" ht="15" hidden="false" customHeight="true" outlineLevel="0" collapsed="false">
      <c r="A147" s="6" t="n">
        <v>45219</v>
      </c>
      <c r="B147" s="7" t="s">
        <v>15</v>
      </c>
      <c r="C147" s="7" t="s">
        <v>158</v>
      </c>
      <c r="D147" s="7" t="s">
        <v>11</v>
      </c>
      <c r="E147" s="7"/>
      <c r="F147" s="6" t="n">
        <v>45274</v>
      </c>
      <c r="G147" s="2" t="n">
        <v>420</v>
      </c>
      <c r="H147" s="10" t="n">
        <f aca="false">IF(D147="OLUMLU",1,0)</f>
        <v>0</v>
      </c>
      <c r="I147" s="10" t="n">
        <f aca="false">IF(D147="OLUMSUZ",1,0)</f>
        <v>1</v>
      </c>
    </row>
    <row r="148" customFormat="false" ht="15" hidden="false" customHeight="true" outlineLevel="0" collapsed="false">
      <c r="A148" s="6" t="n">
        <v>45219</v>
      </c>
      <c r="B148" s="7" t="s">
        <v>15</v>
      </c>
      <c r="C148" s="7" t="s">
        <v>159</v>
      </c>
      <c r="D148" s="7" t="s">
        <v>11</v>
      </c>
      <c r="E148" s="7"/>
      <c r="F148" s="6" t="n">
        <v>45299</v>
      </c>
      <c r="G148" s="2" t="n">
        <v>504</v>
      </c>
      <c r="H148" s="10" t="n">
        <f aca="false">IF(D148="OLUMLU",1,0)</f>
        <v>0</v>
      </c>
      <c r="I148" s="10" t="n">
        <f aca="false">IF(D148="OLUMSUZ",1,0)</f>
        <v>1</v>
      </c>
    </row>
    <row r="149" customFormat="false" ht="15" hidden="false" customHeight="true" outlineLevel="0" collapsed="false">
      <c r="A149" s="6" t="n">
        <v>45230</v>
      </c>
      <c r="B149" s="7" t="s">
        <v>19</v>
      </c>
      <c r="C149" s="7" t="s">
        <v>160</v>
      </c>
      <c r="D149" s="7" t="s">
        <v>11</v>
      </c>
      <c r="E149" s="7"/>
      <c r="F149" s="6" t="n">
        <v>45272</v>
      </c>
      <c r="G149" s="2" t="n">
        <v>420</v>
      </c>
      <c r="H149" s="10" t="n">
        <f aca="false">IF(D149="OLUMLU",1,0)</f>
        <v>0</v>
      </c>
      <c r="I149" s="10" t="n">
        <f aca="false">IF(D149="OLUMSUZ",1,0)</f>
        <v>1</v>
      </c>
    </row>
    <row r="150" customFormat="false" ht="15" hidden="false" customHeight="true" outlineLevel="0" collapsed="false">
      <c r="A150" s="6" t="n">
        <v>45245</v>
      </c>
      <c r="B150" s="7" t="s">
        <v>9</v>
      </c>
      <c r="C150" s="7" t="s">
        <v>161</v>
      </c>
      <c r="D150" s="7" t="s">
        <v>13</v>
      </c>
      <c r="E150" s="7"/>
      <c r="F150" s="6" t="n">
        <v>45279</v>
      </c>
      <c r="G150" s="2" t="n">
        <v>1092</v>
      </c>
      <c r="H150" s="10" t="n">
        <f aca="false">IF(D150="OLUMLU",1,0)</f>
        <v>1</v>
      </c>
      <c r="I150" s="10" t="n">
        <f aca="false">IF(D150="OLUMSUZ",1,0)</f>
        <v>0</v>
      </c>
    </row>
    <row r="151" customFormat="false" ht="15" hidden="false" customHeight="true" outlineLevel="0" collapsed="false">
      <c r="A151" s="6" t="n">
        <v>45253</v>
      </c>
      <c r="B151" s="7" t="s">
        <v>15</v>
      </c>
      <c r="C151" s="7" t="s">
        <v>162</v>
      </c>
      <c r="D151" s="7" t="s">
        <v>11</v>
      </c>
      <c r="E151" s="7"/>
      <c r="F151" s="6" t="n">
        <v>45299</v>
      </c>
      <c r="G151" s="2" t="n">
        <v>504</v>
      </c>
      <c r="H151" s="10" t="n">
        <f aca="false">IF(D151="OLUMLU",1,0)</f>
        <v>0</v>
      </c>
      <c r="I151" s="10" t="n">
        <f aca="false">IF(D151="OLUMSUZ",1,0)</f>
        <v>1</v>
      </c>
    </row>
    <row r="152" customFormat="false" ht="15" hidden="false" customHeight="true" outlineLevel="0" collapsed="false">
      <c r="A152" s="6" t="n">
        <v>45264</v>
      </c>
      <c r="B152" s="7" t="s">
        <v>15</v>
      </c>
      <c r="C152" s="7" t="s">
        <v>163</v>
      </c>
      <c r="D152" s="7" t="s">
        <v>11</v>
      </c>
      <c r="E152" s="7"/>
      <c r="F152" s="6" t="n">
        <v>45299</v>
      </c>
      <c r="G152" s="2" t="n">
        <v>504</v>
      </c>
      <c r="H152" s="10" t="n">
        <f aca="false">IF(D152="OLUMLU",1,0)</f>
        <v>0</v>
      </c>
      <c r="I152" s="10" t="n">
        <f aca="false">IF(D152="OLUMSUZ",1,0)</f>
        <v>1</v>
      </c>
    </row>
    <row r="153" customFormat="false" ht="15" hidden="false" customHeight="true" outlineLevel="0" collapsed="false">
      <c r="A153" s="6" t="n">
        <v>45293</v>
      </c>
      <c r="B153" s="7" t="s">
        <v>15</v>
      </c>
      <c r="C153" s="7" t="s">
        <v>164</v>
      </c>
      <c r="D153" s="7" t="s">
        <v>13</v>
      </c>
      <c r="E153" s="7"/>
      <c r="F153" s="6" t="n">
        <v>45357</v>
      </c>
      <c r="G153" s="2" t="n">
        <v>1491</v>
      </c>
      <c r="H153" s="10" t="n">
        <f aca="false">IF(D153="OLUMLU",1,0)</f>
        <v>1</v>
      </c>
      <c r="I153" s="10" t="n">
        <f aca="false">IF(D153="OLUMSUZ",1,0)</f>
        <v>0</v>
      </c>
    </row>
    <row r="154" customFormat="false" ht="15" hidden="false" customHeight="true" outlineLevel="0" collapsed="false">
      <c r="A154" s="6" t="n">
        <v>45334</v>
      </c>
      <c r="B154" s="7" t="s">
        <v>9</v>
      </c>
      <c r="C154" s="7" t="s">
        <v>165</v>
      </c>
      <c r="D154" s="7" t="s">
        <v>13</v>
      </c>
      <c r="E154" s="7"/>
      <c r="F154" s="6" t="n">
        <v>45371</v>
      </c>
      <c r="G154" s="2" t="n">
        <v>1596</v>
      </c>
      <c r="H154" s="10" t="n">
        <f aca="false">IF(D154="OLUMLU",1,0)</f>
        <v>1</v>
      </c>
      <c r="I154" s="10" t="n">
        <f aca="false">IF(D154="OLUMSUZ",1,0)</f>
        <v>0</v>
      </c>
    </row>
    <row r="155" customFormat="false" ht="15" hidden="false" customHeight="true" outlineLevel="0" collapsed="false">
      <c r="A155" s="6" t="n">
        <v>45337</v>
      </c>
      <c r="B155" s="7" t="s">
        <v>9</v>
      </c>
      <c r="C155" s="7" t="s">
        <v>166</v>
      </c>
      <c r="D155" s="7" t="s">
        <v>13</v>
      </c>
      <c r="E155" s="7"/>
      <c r="F155" s="6" t="n">
        <v>45371</v>
      </c>
      <c r="G155" s="2" t="n">
        <v>1765</v>
      </c>
      <c r="H155" s="10" t="n">
        <f aca="false">IF(D155="OLUMLU",1,0)</f>
        <v>1</v>
      </c>
      <c r="I155" s="10" t="n">
        <f aca="false">IF(D155="OLUMSUZ",1,0)</f>
        <v>0</v>
      </c>
    </row>
    <row r="156" customFormat="false" ht="15" hidden="false" customHeight="true" outlineLevel="0" collapsed="false">
      <c r="A156" s="6" t="n">
        <v>45344</v>
      </c>
      <c r="B156" s="7" t="s">
        <v>9</v>
      </c>
      <c r="C156" s="7" t="s">
        <v>167</v>
      </c>
      <c r="D156" s="7" t="s">
        <v>13</v>
      </c>
      <c r="E156" s="7"/>
      <c r="F156" s="6" t="n">
        <v>45371</v>
      </c>
      <c r="G156" s="2" t="n">
        <v>1596</v>
      </c>
      <c r="H156" s="10" t="n">
        <f aca="false">IF(D156="OLUMLU",1,0)</f>
        <v>1</v>
      </c>
      <c r="I156" s="10" t="n">
        <f aca="false">IF(D156="OLUMSUZ",1,0)</f>
        <v>0</v>
      </c>
    </row>
    <row r="157" customFormat="false" ht="15" hidden="false" customHeight="true" outlineLevel="0" collapsed="false">
      <c r="A157" s="6" t="n">
        <v>45369</v>
      </c>
      <c r="B157" s="7" t="s">
        <v>9</v>
      </c>
      <c r="C157" s="7" t="s">
        <v>168</v>
      </c>
      <c r="D157" s="7" t="s">
        <v>13</v>
      </c>
      <c r="E157" s="7"/>
      <c r="F157" s="6" t="n">
        <v>45390</v>
      </c>
      <c r="G157" s="2" t="n">
        <v>1596</v>
      </c>
      <c r="H157" s="10" t="n">
        <f aca="false">IF(D157="OLUMLU",1,0)</f>
        <v>1</v>
      </c>
      <c r="I157" s="10" t="n">
        <f aca="false">IF(D157="OLUMSUZ",1,0)</f>
        <v>0</v>
      </c>
    </row>
    <row r="158" customFormat="false" ht="15" hidden="false" customHeight="true" outlineLevel="0" collapsed="false">
      <c r="A158" s="6" t="n">
        <v>45371</v>
      </c>
      <c r="B158" s="7" t="s">
        <v>9</v>
      </c>
      <c r="C158" s="7" t="s">
        <v>169</v>
      </c>
      <c r="D158" s="7" t="s">
        <v>13</v>
      </c>
      <c r="E158" s="7"/>
      <c r="F158" s="6" t="n">
        <v>45397</v>
      </c>
      <c r="G158" s="2" t="n">
        <v>1596</v>
      </c>
      <c r="H158" s="10" t="n">
        <f aca="false">IF(D158="OLUMLU",1,0)</f>
        <v>1</v>
      </c>
      <c r="I158" s="10" t="n">
        <f aca="false">IF(D158="OLUMSUZ",1,0)</f>
        <v>0</v>
      </c>
    </row>
    <row r="159" customFormat="false" ht="15" hidden="false" customHeight="true" outlineLevel="0" collapsed="false">
      <c r="A159" s="6" t="n">
        <v>45400</v>
      </c>
      <c r="B159" s="7" t="s">
        <v>9</v>
      </c>
      <c r="C159" s="7" t="s">
        <v>170</v>
      </c>
      <c r="D159" s="7" t="s">
        <v>13</v>
      </c>
      <c r="E159" s="7"/>
      <c r="F159" s="6" t="n">
        <v>45448</v>
      </c>
      <c r="G159" s="2" t="n">
        <v>1596</v>
      </c>
      <c r="H159" s="10" t="n">
        <f aca="false">IF(D159="OLUMLU",1,0)</f>
        <v>1</v>
      </c>
      <c r="I159" s="10" t="n">
        <f aca="false">IF(D159="OLUMSUZ",1,0)</f>
        <v>0</v>
      </c>
    </row>
    <row r="160" customFormat="false" ht="15" hidden="false" customHeight="true" outlineLevel="0" collapsed="false">
      <c r="A160" s="6" t="n">
        <v>45411</v>
      </c>
      <c r="B160" s="7" t="s">
        <v>19</v>
      </c>
      <c r="C160" s="7" t="s">
        <v>171</v>
      </c>
      <c r="D160" s="7" t="s">
        <v>11</v>
      </c>
      <c r="E160" s="7"/>
      <c r="F160" s="6" t="n">
        <v>45449</v>
      </c>
      <c r="G160" s="2" t="n">
        <v>700</v>
      </c>
      <c r="H160" s="10" t="n">
        <f aca="false">IF(D160="OLUMLU",1,0)</f>
        <v>0</v>
      </c>
      <c r="I160" s="10" t="n">
        <f aca="false">IF(D160="OLUMSUZ",1,0)</f>
        <v>1</v>
      </c>
    </row>
    <row r="161" customFormat="false" ht="15" hidden="false" customHeight="true" outlineLevel="0" collapsed="false">
      <c r="A161" s="6" t="n">
        <v>45412</v>
      </c>
      <c r="B161" s="7" t="s">
        <v>9</v>
      </c>
      <c r="C161" s="7" t="s">
        <v>172</v>
      </c>
      <c r="D161" s="7" t="s">
        <v>11</v>
      </c>
      <c r="E161" s="7"/>
      <c r="F161" s="6" t="n">
        <v>45450</v>
      </c>
      <c r="G161" s="2" t="n">
        <v>500</v>
      </c>
      <c r="H161" s="10" t="n">
        <f aca="false">IF(D161="OLUMLU",1,0)</f>
        <v>0</v>
      </c>
      <c r="I161" s="10" t="n">
        <f aca="false">IF(D161="OLUMSUZ",1,0)</f>
        <v>1</v>
      </c>
    </row>
    <row r="162" customFormat="false" ht="15" hidden="false" customHeight="true" outlineLevel="0" collapsed="false">
      <c r="A162" s="6" t="n">
        <v>45412</v>
      </c>
      <c r="B162" s="7" t="s">
        <v>9</v>
      </c>
      <c r="C162" s="7" t="s">
        <v>173</v>
      </c>
      <c r="D162" s="7" t="s">
        <v>11</v>
      </c>
      <c r="E162" s="7"/>
      <c r="F162" s="6" t="n">
        <v>45451</v>
      </c>
      <c r="G162" s="2" t="n">
        <v>700</v>
      </c>
      <c r="H162" s="10" t="n">
        <f aca="false">IF(D162="OLUMLU",1,0)</f>
        <v>0</v>
      </c>
      <c r="I162" s="10" t="n">
        <f aca="false">IF(D162="OLUMSUZ",1,0)</f>
        <v>1</v>
      </c>
    </row>
    <row r="163" customFormat="false" ht="15" hidden="false" customHeight="true" outlineLevel="0" collapsed="false">
      <c r="A163" s="6" t="n">
        <v>45422</v>
      </c>
      <c r="B163" s="7" t="s">
        <v>9</v>
      </c>
      <c r="C163" s="7" t="s">
        <v>174</v>
      </c>
      <c r="D163" s="7" t="s">
        <v>13</v>
      </c>
      <c r="E163" s="7"/>
      <c r="F163" s="6" t="n">
        <v>45452</v>
      </c>
      <c r="G163" s="2" t="n">
        <v>1596</v>
      </c>
      <c r="H163" s="10" t="n">
        <f aca="false">IF(D163="OLUMLU",1,0)</f>
        <v>1</v>
      </c>
      <c r="I163" s="10" t="n">
        <f aca="false">IF(D163="OLUMSUZ",1,0)</f>
        <v>0</v>
      </c>
    </row>
    <row r="164" customFormat="false" ht="15" hidden="false" customHeight="true" outlineLevel="0" collapsed="false">
      <c r="A164" s="6" t="n">
        <v>45423</v>
      </c>
      <c r="B164" s="7" t="s">
        <v>9</v>
      </c>
      <c r="C164" s="7" t="s">
        <v>175</v>
      </c>
      <c r="D164" s="7" t="s">
        <v>11</v>
      </c>
      <c r="E164" s="7"/>
      <c r="F164" s="6" t="n">
        <v>45453</v>
      </c>
      <c r="G164" s="2" t="n">
        <v>500</v>
      </c>
      <c r="H164" s="10" t="n">
        <f aca="false">IF(D164="OLUMLU",1,0)</f>
        <v>0</v>
      </c>
      <c r="I164" s="10" t="n">
        <f aca="false">IF(D164="OLUMSUZ",1,0)</f>
        <v>1</v>
      </c>
    </row>
    <row r="165" customFormat="false" ht="15" hidden="false" customHeight="true" outlineLevel="0" collapsed="false">
      <c r="A165" s="6" t="n">
        <v>45433</v>
      </c>
      <c r="B165" s="7" t="s">
        <v>9</v>
      </c>
      <c r="C165" s="7" t="s">
        <v>176</v>
      </c>
      <c r="D165" s="7" t="s">
        <v>13</v>
      </c>
      <c r="E165" s="7"/>
      <c r="F165" s="6" t="n">
        <v>45454</v>
      </c>
      <c r="G165" s="2" t="n">
        <v>1596</v>
      </c>
      <c r="H165" s="10" t="n">
        <f aca="false">IF(D165="OLUMLU",1,0)</f>
        <v>1</v>
      </c>
      <c r="I165" s="10" t="n">
        <f aca="false">IF(D165="OLUMSUZ",1,0)</f>
        <v>0</v>
      </c>
    </row>
    <row r="166" customFormat="false" ht="15" hidden="false" customHeight="true" outlineLevel="0" collapsed="false">
      <c r="A166" s="6" t="n">
        <v>45440</v>
      </c>
      <c r="B166" s="7" t="s">
        <v>9</v>
      </c>
      <c r="C166" s="7" t="s">
        <v>177</v>
      </c>
      <c r="D166" s="7" t="s">
        <v>13</v>
      </c>
      <c r="E166" s="7"/>
      <c r="F166" s="6" t="n">
        <v>45448</v>
      </c>
      <c r="G166" s="2" t="n">
        <v>1596</v>
      </c>
      <c r="H166" s="10" t="n">
        <f aca="false">IF(D166="OLUMLU",1,0)</f>
        <v>1</v>
      </c>
      <c r="I166" s="10" t="n">
        <f aca="false">IF(D166="OLUMSUZ",1,0)</f>
        <v>0</v>
      </c>
    </row>
    <row r="167" customFormat="false" ht="15" hidden="false" customHeight="true" outlineLevel="0" collapsed="false">
      <c r="A167" s="6" t="n">
        <v>45524</v>
      </c>
      <c r="B167" s="7" t="s">
        <v>15</v>
      </c>
      <c r="C167" s="7" t="s">
        <v>178</v>
      </c>
      <c r="D167" s="7" t="s">
        <v>13</v>
      </c>
      <c r="E167" s="7"/>
      <c r="F167" s="6" t="n">
        <v>45574</v>
      </c>
      <c r="G167" s="2" t="n">
        <v>1491</v>
      </c>
      <c r="H167" s="10" t="n">
        <f aca="false">IF(D167="OLUMLU",1,0)</f>
        <v>1</v>
      </c>
      <c r="I167" s="10" t="n">
        <f aca="false">IF(D167="OLUMSUZ",1,0)</f>
        <v>0</v>
      </c>
    </row>
    <row r="168" customFormat="false" ht="15" hidden="false" customHeight="true" outlineLevel="0" collapsed="false">
      <c r="A168" s="6" t="n">
        <v>45538</v>
      </c>
      <c r="B168" s="7" t="s">
        <v>9</v>
      </c>
      <c r="C168" s="7" t="s">
        <v>179</v>
      </c>
      <c r="D168" s="7" t="s">
        <v>11</v>
      </c>
      <c r="E168" s="7"/>
      <c r="F168" s="6" t="n">
        <v>45575</v>
      </c>
      <c r="G168" s="2" t="n">
        <v>650</v>
      </c>
      <c r="H168" s="10" t="n">
        <f aca="false">IF(D168="OLUMLU",1,0)</f>
        <v>0</v>
      </c>
      <c r="I168" s="10" t="n">
        <f aca="false">IF(D168="OLUMSUZ",1,0)</f>
        <v>1</v>
      </c>
    </row>
    <row r="169" customFormat="false" ht="15" hidden="false" customHeight="true" outlineLevel="0" collapsed="false">
      <c r="A169" s="6" t="n">
        <v>45541</v>
      </c>
      <c r="B169" s="7" t="s">
        <v>9</v>
      </c>
      <c r="C169" s="7" t="s">
        <v>180</v>
      </c>
      <c r="D169" s="7" t="s">
        <v>11</v>
      </c>
      <c r="E169" s="7"/>
      <c r="F169" s="6" t="n">
        <v>45576</v>
      </c>
      <c r="G169" s="2" t="n">
        <v>650</v>
      </c>
      <c r="H169" s="10" t="n">
        <f aca="false">IF(D169="OLUMLU",1,0)</f>
        <v>0</v>
      </c>
      <c r="I169" s="10" t="n">
        <f aca="false">IF(D169="OLUMSUZ",1,0)</f>
        <v>1</v>
      </c>
    </row>
    <row r="170" customFormat="false" ht="15" hidden="false" customHeight="true" outlineLevel="0" collapsed="false">
      <c r="A170" s="6" t="n">
        <v>45547</v>
      </c>
      <c r="B170" s="7" t="s">
        <v>9</v>
      </c>
      <c r="C170" s="7" t="s">
        <v>181</v>
      </c>
      <c r="D170" s="7" t="s">
        <v>13</v>
      </c>
      <c r="E170" s="7"/>
      <c r="F170" s="6" t="n">
        <v>45590</v>
      </c>
      <c r="G170" s="2" t="n">
        <v>1900</v>
      </c>
      <c r="H170" s="10" t="n">
        <f aca="false">IF(D170="OLUMLU",1,0)</f>
        <v>1</v>
      </c>
      <c r="I170" s="10" t="n">
        <f aca="false">IF(D170="OLUMSUZ",1,0)</f>
        <v>0</v>
      </c>
    </row>
    <row r="171" customFormat="false" ht="15" hidden="false" customHeight="true" outlineLevel="0" collapsed="false">
      <c r="A171" s="6" t="n">
        <v>45552</v>
      </c>
      <c r="B171" s="7" t="s">
        <v>9</v>
      </c>
      <c r="C171" s="7" t="s">
        <v>182</v>
      </c>
      <c r="D171" s="7" t="s">
        <v>11</v>
      </c>
      <c r="E171" s="7"/>
      <c r="F171" s="6" t="n">
        <v>45591</v>
      </c>
      <c r="G171" s="2" t="n">
        <v>1100</v>
      </c>
      <c r="H171" s="10" t="n">
        <f aca="false">IF(D171="OLUMLU",1,0)</f>
        <v>0</v>
      </c>
      <c r="I171" s="10" t="n">
        <f aca="false">IF(D171="OLUMSUZ",1,0)</f>
        <v>1</v>
      </c>
    </row>
    <row r="172" customFormat="false" ht="15" hidden="false" customHeight="true" outlineLevel="0" collapsed="false">
      <c r="A172" s="6" t="n">
        <v>45560</v>
      </c>
      <c r="B172" s="7" t="s">
        <v>19</v>
      </c>
      <c r="C172" s="7" t="s">
        <v>183</v>
      </c>
      <c r="D172" s="7" t="s">
        <v>11</v>
      </c>
      <c r="E172" s="7"/>
      <c r="F172" s="6" t="n">
        <v>45592</v>
      </c>
      <c r="G172" s="2" t="n">
        <v>500</v>
      </c>
      <c r="H172" s="10" t="n">
        <f aca="false">IF(D172="OLUMLU",1,0)</f>
        <v>0</v>
      </c>
      <c r="I172" s="10" t="n">
        <f aca="false">IF(D172="OLUMSUZ",1,0)</f>
        <v>1</v>
      </c>
    </row>
    <row r="173" customFormat="false" ht="15" hidden="false" customHeight="true" outlineLevel="0" collapsed="false">
      <c r="A173" s="6" t="n">
        <v>45567</v>
      </c>
      <c r="B173" s="7" t="s">
        <v>19</v>
      </c>
      <c r="C173" s="7" t="s">
        <v>184</v>
      </c>
      <c r="D173" s="7" t="s">
        <v>13</v>
      </c>
      <c r="E173" s="7"/>
      <c r="F173" s="6" t="n">
        <v>45593</v>
      </c>
      <c r="G173" s="2" t="n">
        <v>1775</v>
      </c>
      <c r="H173" s="10" t="n">
        <f aca="false">IF(D173="OLUMLU",1,0)</f>
        <v>1</v>
      </c>
      <c r="I173" s="10" t="n">
        <f aca="false">IF(D173="OLUMSUZ",1,0)</f>
        <v>0</v>
      </c>
    </row>
    <row r="174" customFormat="false" ht="15" hidden="false" customHeight="true" outlineLevel="0" collapsed="false">
      <c r="A174" s="6" t="n">
        <v>45575</v>
      </c>
      <c r="B174" s="7" t="s">
        <v>9</v>
      </c>
      <c r="C174" s="7" t="s">
        <v>185</v>
      </c>
      <c r="D174" s="7" t="s">
        <v>11</v>
      </c>
      <c r="E174" s="7"/>
      <c r="F174" s="6" t="n">
        <v>45646</v>
      </c>
      <c r="G174" s="2" t="n">
        <v>650</v>
      </c>
      <c r="H174" s="10" t="n">
        <f aca="false">IF(D174="OLUMLU",1,0)</f>
        <v>0</v>
      </c>
      <c r="I174" s="10" t="n">
        <f aca="false">IF(D174="OLUMSUZ",1,0)</f>
        <v>1</v>
      </c>
    </row>
    <row r="175" customFormat="false" ht="15" hidden="false" customHeight="true" outlineLevel="0" collapsed="false">
      <c r="A175" s="6" t="n">
        <v>45632</v>
      </c>
      <c r="B175" s="7" t="s">
        <v>19</v>
      </c>
      <c r="C175" s="7" t="s">
        <v>186</v>
      </c>
      <c r="D175" s="7" t="s">
        <v>11</v>
      </c>
      <c r="E175" s="7"/>
      <c r="F175" s="6" t="n">
        <v>45674</v>
      </c>
      <c r="G175" s="2" t="n">
        <v>590</v>
      </c>
      <c r="H175" s="10" t="n">
        <f aca="false">IF(D175="OLUMLU",1,0)</f>
        <v>0</v>
      </c>
      <c r="I175" s="10" t="n">
        <f aca="false">IF(D175="OLUMSUZ",1,0)</f>
        <v>1</v>
      </c>
    </row>
    <row r="176" customFormat="false" ht="15" hidden="false" customHeight="true" outlineLevel="0" collapsed="false">
      <c r="A176" s="6" t="n">
        <v>45636</v>
      </c>
      <c r="B176" s="7" t="s">
        <v>19</v>
      </c>
      <c r="C176" s="7" t="s">
        <v>187</v>
      </c>
      <c r="D176" s="7" t="s">
        <v>11</v>
      </c>
      <c r="E176" s="7"/>
      <c r="F176" s="6" t="n">
        <v>45675</v>
      </c>
      <c r="G176" s="2" t="n">
        <v>1100</v>
      </c>
      <c r="H176" s="10" t="n">
        <f aca="false">IF(D176="OLUMLU",1,0)</f>
        <v>0</v>
      </c>
      <c r="I176" s="10" t="n">
        <f aca="false">IF(D176="OLUMSUZ",1,0)</f>
        <v>1</v>
      </c>
    </row>
    <row r="177" customFormat="false" ht="15" hidden="false" customHeight="true" outlineLevel="0" collapsed="false">
      <c r="A177" s="6" t="n">
        <v>45638</v>
      </c>
      <c r="B177" s="7" t="s">
        <v>15</v>
      </c>
      <c r="C177" s="7" t="s">
        <v>188</v>
      </c>
      <c r="D177" s="7" t="s">
        <v>13</v>
      </c>
      <c r="E177" s="7"/>
      <c r="F177" s="6" t="n">
        <v>45676</v>
      </c>
      <c r="G177" s="2" t="n">
        <v>3520</v>
      </c>
      <c r="H177" s="10" t="n">
        <f aca="false">IF(D177="OLUMLU",1,0)</f>
        <v>1</v>
      </c>
      <c r="I177" s="10" t="n">
        <f aca="false">IF(D177="OLUMSUZ",1,0)</f>
        <v>0</v>
      </c>
    </row>
    <row r="178" customFormat="false" ht="15" hidden="false" customHeight="true" outlineLevel="0" collapsed="false">
      <c r="A178" s="6" t="n">
        <v>45645</v>
      </c>
      <c r="B178" s="7" t="s">
        <v>19</v>
      </c>
      <c r="C178" s="7" t="s">
        <v>189</v>
      </c>
      <c r="D178" s="7" t="s">
        <v>13</v>
      </c>
      <c r="E178" s="7"/>
      <c r="F178" s="6" t="n">
        <v>45677</v>
      </c>
      <c r="G178" s="2" t="n">
        <v>3000</v>
      </c>
      <c r="H178" s="10" t="n">
        <f aca="false">IF(D178="OLUMLU",1,0)</f>
        <v>1</v>
      </c>
      <c r="I178" s="10" t="n">
        <f aca="false">IF(D178="OLUMSUZ",1,0)</f>
        <v>0</v>
      </c>
    </row>
    <row r="179" customFormat="false" ht="15" hidden="false" customHeight="true" outlineLevel="0" collapsed="false">
      <c r="A179" s="6" t="n">
        <v>46017</v>
      </c>
      <c r="B179" s="7" t="s">
        <v>19</v>
      </c>
      <c r="C179" s="7" t="s">
        <v>190</v>
      </c>
      <c r="D179" s="7" t="s">
        <v>11</v>
      </c>
      <c r="E179" s="7"/>
      <c r="F179" s="6" t="n">
        <v>45678</v>
      </c>
      <c r="G179" s="2" t="n">
        <v>1100</v>
      </c>
      <c r="H179" s="10" t="n">
        <f aca="false">IF(D179="OLUMLU",1,0)</f>
        <v>0</v>
      </c>
      <c r="I179" s="10" t="n">
        <f aca="false">IF(D179="OLUMSUZ",1,0)</f>
        <v>1</v>
      </c>
    </row>
    <row r="180" customFormat="false" ht="15" hidden="false" customHeight="true" outlineLevel="0" collapsed="false">
      <c r="A180" s="6" t="n">
        <v>46020</v>
      </c>
      <c r="B180" s="7" t="s">
        <v>15</v>
      </c>
      <c r="C180" s="7" t="s">
        <v>191</v>
      </c>
      <c r="D180" s="7" t="s">
        <v>11</v>
      </c>
      <c r="E180" s="7"/>
      <c r="F180" s="6" t="n">
        <v>45679</v>
      </c>
      <c r="G180" s="2" t="n">
        <v>1000</v>
      </c>
      <c r="H180" s="10" t="n">
        <f aca="false">IF(D180="OLUMLU",1,0)</f>
        <v>0</v>
      </c>
      <c r="I180" s="10" t="n">
        <f aca="false">IF(D180="OLUMSUZ",1,0)</f>
        <v>1</v>
      </c>
    </row>
    <row r="181" customFormat="false" ht="15" hidden="false" customHeight="true" outlineLevel="0" collapsed="false">
      <c r="A181" s="6" t="n">
        <v>45659</v>
      </c>
      <c r="B181" s="7" t="s">
        <v>15</v>
      </c>
      <c r="C181" s="7" t="s">
        <v>192</v>
      </c>
      <c r="D181" s="7" t="s">
        <v>13</v>
      </c>
      <c r="E181" s="7"/>
      <c r="F181" s="6" t="n">
        <v>45680</v>
      </c>
      <c r="G181" s="2" t="n">
        <v>3000</v>
      </c>
      <c r="H181" s="10" t="n">
        <f aca="false">IF(D181="OLUMLU",1,0)</f>
        <v>1</v>
      </c>
      <c r="I181" s="10" t="n">
        <f aca="false">IF(D181="OLUMSUZ",1,0)</f>
        <v>0</v>
      </c>
    </row>
    <row r="182" customFormat="false" ht="15" hidden="false" customHeight="true" outlineLevel="0" collapsed="false">
      <c r="A182" s="6" t="n">
        <v>45668</v>
      </c>
      <c r="B182" s="7" t="s">
        <v>15</v>
      </c>
      <c r="C182" s="7" t="s">
        <v>193</v>
      </c>
      <c r="D182" s="7" t="s">
        <v>11</v>
      </c>
      <c r="E182" s="7"/>
      <c r="F182" s="6" t="n">
        <v>45681</v>
      </c>
      <c r="G182" s="2" t="n">
        <v>1500</v>
      </c>
      <c r="H182" s="10" t="n">
        <f aca="false">IF(D182="OLUMLU",1,0)</f>
        <v>0</v>
      </c>
      <c r="I182" s="10" t="n">
        <f aca="false">IF(D182="OLUMSUZ",1,0)</f>
        <v>1</v>
      </c>
    </row>
    <row r="183" customFormat="false" ht="15" hidden="false" customHeight="true" outlineLevel="0" collapsed="false">
      <c r="A183" s="6" t="n">
        <v>45674</v>
      </c>
      <c r="B183" s="7" t="s">
        <v>9</v>
      </c>
      <c r="C183" s="7" t="s">
        <v>194</v>
      </c>
      <c r="D183" s="7" t="s">
        <v>11</v>
      </c>
      <c r="E183" s="7"/>
      <c r="F183" s="6" t="n">
        <v>45682</v>
      </c>
      <c r="G183" s="2" t="n">
        <v>1100</v>
      </c>
      <c r="H183" s="10" t="n">
        <f aca="false">IF(D183="OLUMLU",1,0)</f>
        <v>0</v>
      </c>
      <c r="I183" s="10" t="n">
        <f aca="false">IF(D183="OLUMSUZ",1,0)</f>
        <v>1</v>
      </c>
    </row>
    <row r="184" customFormat="false" ht="15" hidden="false" customHeight="true" outlineLevel="0" collapsed="false">
      <c r="A184" s="6" t="n">
        <v>45688</v>
      </c>
      <c r="B184" s="7" t="s">
        <v>15</v>
      </c>
      <c r="C184" s="7" t="s">
        <v>195</v>
      </c>
      <c r="D184" s="7" t="s">
        <v>13</v>
      </c>
      <c r="E184" s="7"/>
      <c r="F184" s="6" t="n">
        <v>45683</v>
      </c>
      <c r="G184" s="2" t="n">
        <v>3000</v>
      </c>
      <c r="H184" s="10" t="n">
        <f aca="false">IF(D184="OLUMLU",1,0)</f>
        <v>1</v>
      </c>
      <c r="I184" s="10" t="n">
        <f aca="false">IF(D184="OLUMSUZ",1,0)</f>
        <v>0</v>
      </c>
    </row>
    <row r="185" customFormat="false" ht="15" hidden="false" customHeight="true" outlineLevel="0" collapsed="false">
      <c r="A185" s="6" t="n">
        <v>45737</v>
      </c>
      <c r="B185" s="7" t="s">
        <v>9</v>
      </c>
      <c r="C185" s="7" t="s">
        <v>196</v>
      </c>
      <c r="D185" s="7" t="s">
        <v>11</v>
      </c>
      <c r="E185" s="7"/>
      <c r="F185" s="6" t="n">
        <v>45684</v>
      </c>
      <c r="G185" s="2" t="n">
        <v>1100</v>
      </c>
      <c r="H185" s="10" t="n">
        <f aca="false">IF(D185="OLUMLU",1,0)</f>
        <v>0</v>
      </c>
      <c r="I185" s="10" t="n">
        <f aca="false">IF(D185="OLUMSUZ",1,0)</f>
        <v>1</v>
      </c>
    </row>
    <row r="186" customFormat="false" ht="15" hidden="false" customHeight="true" outlineLevel="0" collapsed="false">
      <c r="A186" s="6" t="n">
        <v>45755</v>
      </c>
      <c r="B186" s="7" t="s">
        <v>9</v>
      </c>
      <c r="C186" s="7" t="s">
        <v>197</v>
      </c>
      <c r="D186" s="7" t="s">
        <v>11</v>
      </c>
      <c r="E186" s="7"/>
      <c r="F186" s="6" t="n">
        <v>45685</v>
      </c>
      <c r="G186" s="2" t="n">
        <v>1000</v>
      </c>
      <c r="H186" s="10" t="n">
        <f aca="false">IF(D186="OLUMLU",1,0)</f>
        <v>0</v>
      </c>
      <c r="I186" s="10" t="n">
        <f aca="false">IF(D186="OLUMSUZ",1,0)</f>
        <v>1</v>
      </c>
    </row>
    <row r="187" customFormat="false" ht="15" hidden="false" customHeight="true" outlineLevel="0" collapsed="false">
      <c r="A187" s="6" t="n">
        <v>45758</v>
      </c>
      <c r="B187" s="7" t="s">
        <v>15</v>
      </c>
      <c r="C187" s="7" t="s">
        <v>198</v>
      </c>
      <c r="D187" s="7" t="s">
        <v>13</v>
      </c>
      <c r="E187" s="7"/>
      <c r="F187" s="6" t="n">
        <v>45686</v>
      </c>
      <c r="G187" s="2" t="n">
        <v>3000</v>
      </c>
      <c r="H187" s="10" t="n">
        <f aca="false">IF(D187="OLUMLU",1,0)</f>
        <v>1</v>
      </c>
      <c r="I187" s="10" t="n">
        <f aca="false">IF(D187="OLUMSUZ",1,0)</f>
        <v>0</v>
      </c>
    </row>
    <row r="188" customFormat="false" ht="15" hidden="false" customHeight="true" outlineLevel="0" collapsed="false">
      <c r="A188" s="6" t="n">
        <v>45759</v>
      </c>
      <c r="B188" s="7" t="s">
        <v>15</v>
      </c>
      <c r="C188" s="7" t="s">
        <v>199</v>
      </c>
      <c r="D188" s="7" t="s">
        <v>13</v>
      </c>
      <c r="E188" s="7"/>
      <c r="F188" s="6" t="n">
        <v>45687</v>
      </c>
      <c r="G188" s="2" t="n">
        <v>3000</v>
      </c>
      <c r="H188" s="10" t="n">
        <f aca="false">IF(D188="OLUMLU",1,0)</f>
        <v>1</v>
      </c>
      <c r="I188" s="10" t="n">
        <f aca="false">IF(D188="OLUMSUZ",1,0)</f>
        <v>0</v>
      </c>
    </row>
    <row r="189" customFormat="false" ht="15" hidden="false" customHeight="true" outlineLevel="0" collapsed="false">
      <c r="A189" s="6" t="n">
        <v>45771</v>
      </c>
      <c r="B189" s="7" t="s">
        <v>15</v>
      </c>
      <c r="C189" s="7" t="s">
        <v>200</v>
      </c>
      <c r="D189" s="7" t="s">
        <v>13</v>
      </c>
      <c r="E189" s="7"/>
      <c r="F189" s="6" t="n">
        <v>45688</v>
      </c>
      <c r="G189" s="2" t="n">
        <v>3000</v>
      </c>
      <c r="H189" s="10" t="n">
        <f aca="false">IF(D189="OLUMLU",1,0)</f>
        <v>1</v>
      </c>
      <c r="I189" s="10" t="n">
        <f aca="false">IF(D189="OLUMSUZ",1,0)</f>
        <v>0</v>
      </c>
    </row>
    <row r="190" customFormat="false" ht="15" hidden="false" customHeight="true" outlineLevel="0" collapsed="false">
      <c r="A190" s="6" t="n">
        <v>45804</v>
      </c>
      <c r="B190" s="7" t="s">
        <v>15</v>
      </c>
      <c r="C190" s="7" t="s">
        <v>201</v>
      </c>
      <c r="D190" s="7" t="s">
        <v>11</v>
      </c>
      <c r="E190" s="7"/>
      <c r="F190" s="6" t="n">
        <v>45689</v>
      </c>
      <c r="G190" s="2" t="n">
        <v>1100</v>
      </c>
      <c r="H190" s="10" t="n">
        <f aca="false">IF(D190="OLUMLU",1,0)</f>
        <v>0</v>
      </c>
      <c r="I190" s="10" t="n">
        <f aca="false">IF(D190="OLUMSUZ",1,0)</f>
        <v>1</v>
      </c>
    </row>
    <row r="191" customFormat="false" ht="15" hidden="false" customHeight="true" outlineLevel="0" collapsed="false">
      <c r="A191" s="6" t="n">
        <v>45845</v>
      </c>
      <c r="B191" s="7" t="s">
        <v>9</v>
      </c>
      <c r="C191" s="7" t="s">
        <v>202</v>
      </c>
      <c r="D191" s="7" t="s">
        <v>13</v>
      </c>
      <c r="E191" s="7"/>
      <c r="F191" s="6" t="n">
        <v>45690</v>
      </c>
      <c r="G191" s="2" t="n">
        <v>3900</v>
      </c>
      <c r="H191" s="10" t="n">
        <f aca="false">IF(D191="OLUMLU",1,0)</f>
        <v>1</v>
      </c>
      <c r="I191" s="10" t="n">
        <f aca="false">IF(D191="OLUMSUZ",1,0)</f>
        <v>0</v>
      </c>
    </row>
    <row r="192" customFormat="false" ht="15" hidden="false" customHeight="true" outlineLevel="0" collapsed="false">
      <c r="A192" s="6" t="n">
        <v>45846</v>
      </c>
      <c r="B192" s="7" t="s">
        <v>15</v>
      </c>
      <c r="C192" s="7" t="s">
        <v>203</v>
      </c>
      <c r="D192" s="7" t="s">
        <v>13</v>
      </c>
      <c r="E192" s="7"/>
      <c r="F192" s="6" t="n">
        <v>45691</v>
      </c>
      <c r="G192" s="2" t="n">
        <v>3000</v>
      </c>
      <c r="H192" s="10" t="n">
        <f aca="false">IF(D192="OLUMLU",1,0)</f>
        <v>1</v>
      </c>
      <c r="I192" s="10" t="n">
        <f aca="false">IF(D192="OLUMSUZ",1,0)</f>
        <v>0</v>
      </c>
    </row>
    <row r="193" customFormat="false" ht="15" hidden="false" customHeight="true" outlineLevel="0" collapsed="false">
      <c r="A193" s="6" t="n">
        <v>45897</v>
      </c>
      <c r="B193" s="7" t="s">
        <v>9</v>
      </c>
      <c r="C193" s="7" t="s">
        <v>204</v>
      </c>
      <c r="D193" s="7" t="s">
        <v>13</v>
      </c>
      <c r="E193" s="7"/>
      <c r="F193" s="6" t="n">
        <v>45692</v>
      </c>
      <c r="G193" s="2" t="n">
        <v>3500</v>
      </c>
      <c r="H193" s="10" t="n">
        <f aca="false">IF(D193="OLUMLU",1,0)</f>
        <v>1</v>
      </c>
      <c r="I193" s="10" t="n">
        <f aca="false">IF(D193="OLUMSUZ",1,0)</f>
        <v>0</v>
      </c>
    </row>
    <row r="194" customFormat="false" ht="15" hidden="false" customHeight="true" outlineLevel="0" collapsed="false">
      <c r="A194" s="6" t="n">
        <v>45898</v>
      </c>
      <c r="B194" s="7" t="s">
        <v>9</v>
      </c>
      <c r="C194" s="7" t="s">
        <v>205</v>
      </c>
      <c r="D194" s="7" t="s">
        <v>13</v>
      </c>
      <c r="E194" s="7"/>
      <c r="F194" s="6" t="n">
        <v>45693</v>
      </c>
      <c r="G194" s="2" t="n">
        <v>3500</v>
      </c>
      <c r="H194" s="10" t="n">
        <f aca="false">IF(D194="OLUMLU",1,0)</f>
        <v>1</v>
      </c>
      <c r="I194" s="10" t="n">
        <f aca="false">IF(D194="OLUMSUZ",1,0)</f>
        <v>0</v>
      </c>
    </row>
    <row r="195" customFormat="false" ht="15" hidden="false" customHeight="true" outlineLevel="0" collapsed="false">
      <c r="A195" s="6" t="n">
        <v>45925</v>
      </c>
      <c r="B195" s="7" t="s">
        <v>19</v>
      </c>
      <c r="C195" s="7" t="s">
        <v>206</v>
      </c>
      <c r="D195" s="7" t="s">
        <v>13</v>
      </c>
      <c r="E195" s="7"/>
      <c r="F195" s="6" t="n">
        <v>45694</v>
      </c>
      <c r="G195" s="2" t="n">
        <v>3000</v>
      </c>
      <c r="H195" s="10" t="n">
        <f aca="false">IF(D195="OLUMLU",1,0)</f>
        <v>1</v>
      </c>
      <c r="I195" s="10" t="n">
        <f aca="false">IF(D195="OLUMSUZ",1,0)</f>
        <v>0</v>
      </c>
    </row>
    <row r="196" customFormat="false" ht="15" hidden="false" customHeight="true" outlineLevel="0" collapsed="false">
      <c r="A196" s="6" t="n">
        <v>45926</v>
      </c>
      <c r="B196" s="7" t="s">
        <v>15</v>
      </c>
      <c r="C196" s="7" t="s">
        <v>207</v>
      </c>
      <c r="D196" s="7" t="s">
        <v>11</v>
      </c>
      <c r="E196" s="7"/>
      <c r="F196" s="6" t="n">
        <v>45695</v>
      </c>
      <c r="G196" s="2" t="n">
        <v>1100</v>
      </c>
      <c r="H196" s="10" t="n">
        <f aca="false">IF(D196="OLUMLU",1,0)</f>
        <v>0</v>
      </c>
      <c r="I196" s="10" t="n">
        <f aca="false">IF(D196="OLUMSUZ",1,0)</f>
        <v>1</v>
      </c>
    </row>
    <row r="197" customFormat="false" ht="15" hidden="false" customHeight="true" outlineLevel="0" collapsed="false">
      <c r="A197" s="6" t="n">
        <v>45926</v>
      </c>
      <c r="B197" s="7" t="s">
        <v>15</v>
      </c>
      <c r="C197" s="7" t="s">
        <v>208</v>
      </c>
      <c r="D197" s="7" t="s">
        <v>13</v>
      </c>
      <c r="E197" s="7"/>
      <c r="F197" s="6" t="n">
        <v>45696</v>
      </c>
      <c r="G197" s="2" t="n">
        <v>3100</v>
      </c>
      <c r="H197" s="10" t="n">
        <f aca="false">IF(D197="OLUMLU",1,0)</f>
        <v>1</v>
      </c>
      <c r="I197" s="10" t="n">
        <f aca="false">IF(D197="OLUMSUZ",1,0)</f>
        <v>0</v>
      </c>
    </row>
    <row r="198" customFormat="false" ht="15" hidden="false" customHeight="true" outlineLevel="0" collapsed="false">
      <c r="A198" s="6" t="n">
        <v>45937</v>
      </c>
      <c r="B198" s="7" t="s">
        <v>9</v>
      </c>
      <c r="C198" s="7" t="s">
        <v>209</v>
      </c>
      <c r="D198" s="7" t="s">
        <v>11</v>
      </c>
      <c r="E198" s="7"/>
      <c r="F198" s="6" t="n">
        <v>45697</v>
      </c>
      <c r="G198" s="2" t="n">
        <v>1100</v>
      </c>
      <c r="H198" s="10" t="n">
        <f aca="false">IF(D198="OLUMLU",1,0)</f>
        <v>0</v>
      </c>
      <c r="I198" s="10" t="n">
        <f aca="false">IF(D198="OLUMSUZ",1,0)</f>
        <v>1</v>
      </c>
    </row>
    <row r="199" customFormat="false" ht="15.75" hidden="false" customHeight="true" outlineLevel="0" collapsed="false">
      <c r="A199" s="6" t="n">
        <v>46007</v>
      </c>
      <c r="B199" s="7" t="s">
        <v>9</v>
      </c>
      <c r="C199" s="7" t="s">
        <v>210</v>
      </c>
      <c r="D199" s="7" t="s">
        <v>13</v>
      </c>
      <c r="E199" s="6" t="n">
        <v>46048</v>
      </c>
      <c r="F199" s="6" t="n">
        <v>46066</v>
      </c>
      <c r="G199" s="2" t="n">
        <v>4300</v>
      </c>
      <c r="H199" s="10" t="n">
        <f aca="false">IF(D199="OLUMLU",1,0)</f>
        <v>1</v>
      </c>
      <c r="I199" s="10" t="n">
        <f aca="false">IF(D199="OLUMSUZ",1,0)</f>
        <v>0</v>
      </c>
    </row>
    <row r="200" customFormat="false" ht="15.75" hidden="false" customHeight="true" outlineLevel="0" collapsed="false">
      <c r="A200" s="6" t="n">
        <v>46020</v>
      </c>
      <c r="B200" s="7" t="s">
        <v>9</v>
      </c>
      <c r="C200" s="7" t="s">
        <v>211</v>
      </c>
      <c r="D200" s="7"/>
      <c r="E200" s="7"/>
      <c r="F200" s="7"/>
      <c r="H200" s="10" t="n">
        <f aca="false">IF(D200="OLUMLU",1,0)</f>
        <v>0</v>
      </c>
      <c r="I200" s="10" t="n">
        <f aca="false">IF(D200="OLUMSUZ",1,0)</f>
        <v>0</v>
      </c>
    </row>
    <row r="201" customFormat="false" ht="15.75" hidden="false" customHeight="true" outlineLevel="0" collapsed="false">
      <c r="A201" s="6" t="n">
        <v>46038</v>
      </c>
      <c r="B201" s="7" t="s">
        <v>9</v>
      </c>
      <c r="C201" s="7" t="s">
        <v>212</v>
      </c>
      <c r="D201" s="7"/>
      <c r="E201" s="7"/>
      <c r="F201" s="7"/>
      <c r="H201" s="10" t="n">
        <f aca="false">IF(D201="OLUMLU",1,0)</f>
        <v>0</v>
      </c>
      <c r="I201" s="10" t="n">
        <f aca="false">IF(D201="OLUMSUZ",1,0)</f>
        <v>0</v>
      </c>
    </row>
    <row r="202" customFormat="false" ht="15.75" hidden="false" customHeight="true" outlineLevel="0" collapsed="false">
      <c r="A202" s="11" t="n">
        <v>46050</v>
      </c>
      <c r="B202" s="12" t="s">
        <v>9</v>
      </c>
      <c r="C202" s="12" t="s">
        <v>213</v>
      </c>
      <c r="D202" s="12"/>
      <c r="E202" s="12"/>
      <c r="F202" s="12"/>
      <c r="H202" s="10" t="n">
        <f aca="false">IF(D202="OLUMLU",1,0)</f>
        <v>0</v>
      </c>
      <c r="I202" s="10" t="n">
        <f aca="false">IF(D202="OLUMSUZ",1,0)</f>
        <v>0</v>
      </c>
    </row>
    <row r="203" customFormat="false" ht="15.75" hidden="false" customHeight="true" outlineLevel="0" collapsed="false">
      <c r="A203" s="11" t="n">
        <v>46061</v>
      </c>
      <c r="B203" s="12" t="s">
        <v>19</v>
      </c>
      <c r="C203" s="12" t="s">
        <v>214</v>
      </c>
      <c r="D203" s="12"/>
      <c r="E203" s="12"/>
      <c r="F203" s="12"/>
      <c r="H203" s="10" t="n">
        <f aca="false">IF(D203="OLUMLU",1,0)</f>
        <v>0</v>
      </c>
      <c r="I203" s="10" t="n">
        <f aca="false">IF(D203="OLUMSUZ",1,0)</f>
        <v>0</v>
      </c>
    </row>
    <row r="204" customFormat="false" ht="15.75" hidden="false" customHeight="true" outlineLevel="0" collapsed="false">
      <c r="A204" s="13" t="n">
        <v>46070</v>
      </c>
      <c r="B204" s="10" t="s">
        <v>9</v>
      </c>
      <c r="C204" s="10" t="s">
        <v>215</v>
      </c>
      <c r="D204" s="10"/>
      <c r="E204" s="10"/>
      <c r="F204" s="10"/>
      <c r="H204" s="10" t="n">
        <f aca="false">IF(D204="OLUMLU",1,0)</f>
        <v>0</v>
      </c>
      <c r="I204" s="10" t="n">
        <f aca="false">IF(D204="OLUMSUZ",1,0)</f>
        <v>0</v>
      </c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H205" s="10" t="n">
        <f aca="false">IF(D205="OLUMLU",1,0)</f>
        <v>0</v>
      </c>
      <c r="I205" s="10" t="n">
        <f aca="false">IF(D205="OLUMSUZ",1,0)</f>
        <v>0</v>
      </c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H206" s="10" t="n">
        <f aca="false">IF(D206="OLUMLU",1,0)</f>
        <v>0</v>
      </c>
      <c r="I206" s="10" t="n">
        <f aca="false">IF(D206="OLUMSUZ",1,0)</f>
        <v>0</v>
      </c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H207" s="10" t="n">
        <f aca="false">IF(D207="OLUMLU",1,0)</f>
        <v>0</v>
      </c>
      <c r="I207" s="10" t="n">
        <f aca="false">IF(D207="OLUMSUZ",1,0)</f>
        <v>0</v>
      </c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H208" s="10" t="n">
        <f aca="false">IF(D208="OLUMLU",1,0)</f>
        <v>0</v>
      </c>
      <c r="I208" s="10" t="n">
        <f aca="false">IF(D208="OLUMSUZ",1,0)</f>
        <v>0</v>
      </c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H209" s="10" t="n">
        <f aca="false">IF(D209="OLUMLU",1,0)</f>
        <v>0</v>
      </c>
      <c r="I209" s="10" t="n">
        <f aca="false">IF(D209="OLUMSUZ",1,0)</f>
        <v>0</v>
      </c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H210" s="10" t="n">
        <f aca="false">IF(D210="OLUMLU",1,0)</f>
        <v>0</v>
      </c>
      <c r="I210" s="10" t="n">
        <f aca="false">IF(D210="OLUMSUZ",1,0)</f>
        <v>0</v>
      </c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H211" s="10" t="n">
        <f aca="false">IF(D211="OLUMLU",1,0)</f>
        <v>0</v>
      </c>
      <c r="I211" s="10" t="n">
        <f aca="false">IF(D211="OLUMSUZ",1,0)</f>
        <v>0</v>
      </c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H212" s="10" t="n">
        <f aca="false">IF(D212="OLUMLU",1,0)</f>
        <v>0</v>
      </c>
      <c r="I212" s="10" t="n">
        <f aca="false">IF(D212="OLUMSUZ",1,0)</f>
        <v>0</v>
      </c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H213" s="10" t="n">
        <f aca="false">IF(D213="OLUMLU",1,0)</f>
        <v>0</v>
      </c>
      <c r="I213" s="10" t="n">
        <f aca="false">IF(D213="OLUMSUZ",1,0)</f>
        <v>0</v>
      </c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H214" s="10" t="n">
        <f aca="false">IF(D214="OLUMLU",1,0)</f>
        <v>0</v>
      </c>
      <c r="I214" s="10" t="n">
        <f aca="false">IF(D214="OLUMSUZ",1,0)</f>
        <v>0</v>
      </c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H215" s="10" t="n">
        <f aca="false">IF(D215="OLUMLU",1,0)</f>
        <v>0</v>
      </c>
      <c r="I215" s="10" t="n">
        <f aca="false">IF(D215="OLUMSUZ",1,0)</f>
        <v>0</v>
      </c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H216" s="10" t="n">
        <f aca="false">IF(D216="OLUMLU",1,0)</f>
        <v>0</v>
      </c>
      <c r="I216" s="10" t="n">
        <f aca="false">IF(D216="OLUMSUZ",1,0)</f>
        <v>0</v>
      </c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H217" s="10" t="n">
        <f aca="false">IF(D217="OLUMLU",1,0)</f>
        <v>0</v>
      </c>
      <c r="I217" s="10" t="n">
        <f aca="false">IF(D217="OLUMSUZ",1,0)</f>
        <v>0</v>
      </c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H218" s="10" t="n">
        <f aca="false">IF(D218="OLUMLU",1,0)</f>
        <v>0</v>
      </c>
      <c r="I218" s="10" t="n">
        <f aca="false">IF(D218="OLUMSUZ",1,0)</f>
        <v>0</v>
      </c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H219" s="10" t="n">
        <f aca="false">IF(D219="OLUMLU",1,0)</f>
        <v>0</v>
      </c>
      <c r="I219" s="10" t="n">
        <f aca="false">IF(D219="OLUMSUZ",1,0)</f>
        <v>0</v>
      </c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H220" s="10" t="n">
        <f aca="false">IF(D220="OLUMLU",1,0)</f>
        <v>0</v>
      </c>
      <c r="I220" s="10" t="n">
        <f aca="false">IF(D220="OLUMSUZ",1,0)</f>
        <v>0</v>
      </c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H221" s="10" t="n">
        <f aca="false">IF(D221="OLUMLU",1,0)</f>
        <v>0</v>
      </c>
      <c r="I221" s="10" t="n">
        <f aca="false">IF(D221="OLUMSUZ",1,0)</f>
        <v>0</v>
      </c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H222" s="10" t="n">
        <f aca="false">IF(D222="OLUMLU",1,0)</f>
        <v>0</v>
      </c>
      <c r="I222" s="10" t="n">
        <f aca="false">IF(D222="OLUMSUZ",1,0)</f>
        <v>0</v>
      </c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H223" s="10" t="n">
        <f aca="false">IF(D223="OLUMLU",1,0)</f>
        <v>0</v>
      </c>
      <c r="I223" s="10" t="n">
        <f aca="false">IF(D223="OLUMSUZ",1,0)</f>
        <v>0</v>
      </c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H224" s="10" t="n">
        <f aca="false">IF(D224="OLUMLU",1,0)</f>
        <v>0</v>
      </c>
      <c r="I224" s="10" t="n">
        <f aca="false">IF(D224="OLUMSUZ",1,0)</f>
        <v>0</v>
      </c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H225" s="10" t="n">
        <f aca="false">IF(D225="OLUMLU",1,0)</f>
        <v>0</v>
      </c>
      <c r="I225" s="10" t="n">
        <f aca="false">IF(D225="OLUMSUZ",1,0)</f>
        <v>0</v>
      </c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H226" s="10" t="n">
        <f aca="false">IF(D226="OLUMLU",1,0)</f>
        <v>0</v>
      </c>
      <c r="I226" s="10" t="n">
        <f aca="false">IF(D226="OLUMSUZ",1,0)</f>
        <v>0</v>
      </c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H227" s="10" t="n">
        <f aca="false">IF(D227="OLUMLU",1,0)</f>
        <v>0</v>
      </c>
      <c r="I227" s="10" t="n">
        <f aca="false">IF(D227="OLUMSUZ",1,0)</f>
        <v>0</v>
      </c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H228" s="10" t="n">
        <f aca="false">IF(D228="OLUMLU",1,0)</f>
        <v>0</v>
      </c>
      <c r="I228" s="10" t="n">
        <f aca="false">IF(D228="OLUMSUZ",1,0)</f>
        <v>0</v>
      </c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H229" s="10" t="n">
        <f aca="false">IF(D229="OLUMLU",1,0)</f>
        <v>0</v>
      </c>
      <c r="I229" s="10" t="n">
        <f aca="false">IF(D229="OLUMSUZ",1,0)</f>
        <v>0</v>
      </c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H230" s="10" t="n">
        <f aca="false">IF(D230="OLUMLU",1,0)</f>
        <v>0</v>
      </c>
      <c r="I230" s="10" t="n">
        <f aca="false">IF(D230="OLUMSUZ",1,0)</f>
        <v>0</v>
      </c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H231" s="10" t="n">
        <f aca="false">IF(D231="OLUMLU",1,0)</f>
        <v>0</v>
      </c>
      <c r="I231" s="10" t="n">
        <f aca="false">IF(D231="OLUMSUZ",1,0)</f>
        <v>0</v>
      </c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H232" s="10" t="n">
        <f aca="false">IF(D232="OLUMLU",1,0)</f>
        <v>0</v>
      </c>
      <c r="I232" s="10" t="n">
        <f aca="false">IF(D232="OLUMSUZ",1,0)</f>
        <v>0</v>
      </c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H233" s="10" t="n">
        <f aca="false">IF(D233="OLUMLU",1,0)</f>
        <v>0</v>
      </c>
      <c r="I233" s="10" t="n">
        <f aca="false">IF(D233="OLUMSUZ",1,0)</f>
        <v>0</v>
      </c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H234" s="10" t="n">
        <f aca="false">IF(D234="OLUMLU",1,0)</f>
        <v>0</v>
      </c>
      <c r="I234" s="10" t="n">
        <f aca="false">IF(D234="OLUMSUZ",1,0)</f>
        <v>0</v>
      </c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H235" s="10" t="n">
        <f aca="false">IF(D235="OLUMLU",1,0)</f>
        <v>0</v>
      </c>
      <c r="I235" s="10" t="n">
        <f aca="false">IF(D235="OLUMSUZ",1,0)</f>
        <v>0</v>
      </c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H236" s="10" t="n">
        <f aca="false">IF(D236="OLUMLU",1,0)</f>
        <v>0</v>
      </c>
      <c r="I236" s="10" t="n">
        <f aca="false">IF(D236="OLUMSUZ",1,0)</f>
        <v>0</v>
      </c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H237" s="10" t="n">
        <f aca="false">IF(D237="OLUMLU",1,0)</f>
        <v>0</v>
      </c>
      <c r="I237" s="10" t="n">
        <f aca="false">IF(D237="OLUMSUZ",1,0)</f>
        <v>0</v>
      </c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H238" s="10" t="n">
        <f aca="false">IF(D238="OLUMLU",1,0)</f>
        <v>0</v>
      </c>
      <c r="I238" s="10" t="n">
        <f aca="false">IF(D238="OLUMSUZ",1,0)</f>
        <v>0</v>
      </c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H239" s="10" t="n">
        <f aca="false">IF(D239="OLUMLU",1,0)</f>
        <v>0</v>
      </c>
      <c r="I239" s="10" t="n">
        <f aca="false">IF(D239="OLUMSUZ",1,0)</f>
        <v>0</v>
      </c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H240" s="10" t="n">
        <f aca="false">IF(D240="OLUMLU",1,0)</f>
        <v>0</v>
      </c>
      <c r="I240" s="10" t="n">
        <f aca="false">IF(D240="OLUMSUZ",1,0)</f>
        <v>0</v>
      </c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H241" s="10" t="n">
        <f aca="false">IF(D241="OLUMLU",1,0)</f>
        <v>0</v>
      </c>
      <c r="I241" s="10" t="n">
        <f aca="false">IF(D241="OLUMSUZ",1,0)</f>
        <v>0</v>
      </c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H242" s="10" t="n">
        <f aca="false">IF(D242="OLUMLU",1,0)</f>
        <v>0</v>
      </c>
      <c r="I242" s="10" t="n">
        <f aca="false">IF(D242="OLUMSUZ",1,0)</f>
        <v>0</v>
      </c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H243" s="10" t="n">
        <f aca="false">IF(D243="OLUMLU",1,0)</f>
        <v>0</v>
      </c>
      <c r="I243" s="10" t="n">
        <f aca="false">IF(D243="OLUMSUZ",1,0)</f>
        <v>0</v>
      </c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H244" s="10" t="n">
        <f aca="false">IF(D244="OLUMLU",1,0)</f>
        <v>0</v>
      </c>
      <c r="I244" s="10" t="n">
        <f aca="false">IF(D244="OLUMSUZ",1,0)</f>
        <v>0</v>
      </c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H245" s="10" t="n">
        <f aca="false">IF(D245="OLUMLU",1,0)</f>
        <v>0</v>
      </c>
      <c r="I245" s="10" t="n">
        <f aca="false">IF(D245="OLUMSUZ",1,0)</f>
        <v>0</v>
      </c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H246" s="10" t="n">
        <f aca="false">IF(D246="OLUMLU",1,0)</f>
        <v>0</v>
      </c>
      <c r="I246" s="10" t="n">
        <f aca="false">IF(D246="OLUMSUZ",1,0)</f>
        <v>0</v>
      </c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H247" s="10" t="n">
        <f aca="false">IF(D247="OLUMLU",1,0)</f>
        <v>0</v>
      </c>
      <c r="I247" s="10" t="n">
        <f aca="false">IF(D247="OLUMSUZ",1,0)</f>
        <v>0</v>
      </c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H248" s="10" t="n">
        <f aca="false">IF(D248="OLUMLU",1,0)</f>
        <v>0</v>
      </c>
      <c r="I248" s="10" t="n">
        <f aca="false">IF(D248="OLUMSUZ",1,0)</f>
        <v>0</v>
      </c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H249" s="10" t="n">
        <f aca="false">IF(D249="OLUMLU",1,0)</f>
        <v>0</v>
      </c>
      <c r="I249" s="10" t="n">
        <f aca="false">IF(D249="OLUMSUZ",1,0)</f>
        <v>0</v>
      </c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H250" s="10" t="n">
        <f aca="false">IF(D250="OLUMLU",1,0)</f>
        <v>0</v>
      </c>
      <c r="I250" s="10" t="n">
        <f aca="false">IF(D250="OLUMSUZ",1,0)</f>
        <v>0</v>
      </c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H251" s="10" t="n">
        <f aca="false">IF(D251="OLUMLU",1,0)</f>
        <v>0</v>
      </c>
      <c r="I251" s="10" t="n">
        <f aca="false">IF(D251="OLUMSUZ",1,0)</f>
        <v>0</v>
      </c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H252" s="10" t="n">
        <f aca="false">IF(D252="OLUMLU",1,0)</f>
        <v>0</v>
      </c>
      <c r="I252" s="10" t="n">
        <f aca="false">IF(D252="OLUMSUZ",1,0)</f>
        <v>0</v>
      </c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H253" s="10" t="n">
        <f aca="false">IF(D253="OLUMLU",1,0)</f>
        <v>0</v>
      </c>
      <c r="I253" s="10" t="n">
        <f aca="false">IF(D253="OLUMSUZ",1,0)</f>
        <v>0</v>
      </c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H254" s="10" t="n">
        <f aca="false">IF(D254="OLUMLU",1,0)</f>
        <v>0</v>
      </c>
      <c r="I254" s="10" t="n">
        <f aca="false">IF(D254="OLUMSUZ",1,0)</f>
        <v>0</v>
      </c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H255" s="10" t="n">
        <f aca="false">IF(D255="OLUMLU",1,0)</f>
        <v>0</v>
      </c>
      <c r="I255" s="10" t="n">
        <f aca="false">IF(D255="OLUMSUZ",1,0)</f>
        <v>0</v>
      </c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H256" s="10" t="n">
        <f aca="false">IF(D256="OLUMLU",1,0)</f>
        <v>0</v>
      </c>
      <c r="I256" s="10" t="n">
        <f aca="false">IF(D256="OLUMSUZ",1,0)</f>
        <v>0</v>
      </c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H257" s="10" t="n">
        <f aca="false">IF(D257="OLUMLU",1,0)</f>
        <v>0</v>
      </c>
      <c r="I257" s="10" t="n">
        <f aca="false">IF(D257="OLUMSUZ",1,0)</f>
        <v>0</v>
      </c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H258" s="10" t="n">
        <f aca="false">IF(D258="OLUMLU",1,0)</f>
        <v>0</v>
      </c>
      <c r="I258" s="10" t="n">
        <f aca="false">IF(D258="OLUMSUZ",1,0)</f>
        <v>0</v>
      </c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H259" s="10" t="n">
        <f aca="false">IF(D259="OLUMLU",1,0)</f>
        <v>0</v>
      </c>
      <c r="I259" s="10" t="n">
        <f aca="false">IF(D259="OLUMSUZ",1,0)</f>
        <v>0</v>
      </c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H260" s="10" t="n">
        <f aca="false">IF(D260="OLUMLU",1,0)</f>
        <v>0</v>
      </c>
      <c r="I260" s="10" t="n">
        <f aca="false">IF(D260="OLUMSUZ",1,0)</f>
        <v>0</v>
      </c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H261" s="10" t="n">
        <f aca="false">IF(D261="OLUMLU",1,0)</f>
        <v>0</v>
      </c>
      <c r="I261" s="10" t="n">
        <f aca="false">IF(D261="OLUMSUZ",1,0)</f>
        <v>0</v>
      </c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H262" s="10" t="n">
        <f aca="false">IF(D262="OLUMLU",1,0)</f>
        <v>0</v>
      </c>
      <c r="I262" s="10" t="n">
        <f aca="false">IF(D262="OLUMSUZ",1,0)</f>
        <v>0</v>
      </c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H263" s="10" t="n">
        <f aca="false">IF(D263="OLUMLU",1,0)</f>
        <v>0</v>
      </c>
      <c r="I263" s="10" t="n">
        <f aca="false">IF(D263="OLUMSUZ",1,0)</f>
        <v>0</v>
      </c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H264" s="10" t="n">
        <f aca="false">IF(D264="OLUMLU",1,0)</f>
        <v>0</v>
      </c>
      <c r="I264" s="10" t="n">
        <f aca="false">IF(D264="OLUMSUZ",1,0)</f>
        <v>0</v>
      </c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H265" s="10" t="n">
        <f aca="false">IF(D265="OLUMLU",1,0)</f>
        <v>0</v>
      </c>
      <c r="I265" s="10" t="n">
        <f aca="false">IF(D265="OLUMSUZ",1,0)</f>
        <v>0</v>
      </c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H266" s="10" t="n">
        <f aca="false">IF(D266="OLUMLU",1,0)</f>
        <v>0</v>
      </c>
      <c r="I266" s="10" t="n">
        <f aca="false">IF(D266="OLUMSUZ",1,0)</f>
        <v>0</v>
      </c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H267" s="10" t="n">
        <f aca="false">IF(D267="OLUMLU",1,0)</f>
        <v>0</v>
      </c>
      <c r="I267" s="10" t="n">
        <f aca="false">IF(D267="OLUMSUZ",1,0)</f>
        <v>0</v>
      </c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H268" s="10" t="n">
        <f aca="false">IF(D268="OLUMLU",1,0)</f>
        <v>0</v>
      </c>
      <c r="I268" s="10" t="n">
        <f aca="false">IF(D268="OLUMSUZ",1,0)</f>
        <v>0</v>
      </c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H269" s="10" t="n">
        <f aca="false">IF(D269="OLUMLU",1,0)</f>
        <v>0</v>
      </c>
      <c r="I269" s="10" t="n">
        <f aca="false">IF(D269="OLUMSUZ",1,0)</f>
        <v>0</v>
      </c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H270" s="10" t="n">
        <f aca="false">IF(D270="OLUMLU",1,0)</f>
        <v>0</v>
      </c>
      <c r="I270" s="10" t="n">
        <f aca="false">IF(D270="OLUMSUZ",1,0)</f>
        <v>0</v>
      </c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H271" s="10" t="n">
        <f aca="false">IF(D271="OLUMLU",1,0)</f>
        <v>0</v>
      </c>
      <c r="I271" s="10" t="n">
        <f aca="false">IF(D271="OLUMSUZ",1,0)</f>
        <v>0</v>
      </c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H272" s="10" t="n">
        <f aca="false">IF(D272="OLUMLU",1,0)</f>
        <v>0</v>
      </c>
      <c r="I272" s="10" t="n">
        <f aca="false">IF(D272="OLUMSUZ",1,0)</f>
        <v>0</v>
      </c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H273" s="10" t="n">
        <f aca="false">IF(D273="OLUMLU",1,0)</f>
        <v>0</v>
      </c>
      <c r="I273" s="10" t="n">
        <f aca="false">IF(D273="OLUMSUZ",1,0)</f>
        <v>0</v>
      </c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H274" s="10" t="n">
        <f aca="false">IF(D274="OLUMLU",1,0)</f>
        <v>0</v>
      </c>
      <c r="I274" s="10" t="n">
        <f aca="false">IF(D274="OLUMSUZ",1,0)</f>
        <v>0</v>
      </c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H275" s="10" t="n">
        <f aca="false">IF(D275="OLUMLU",1,0)</f>
        <v>0</v>
      </c>
      <c r="I275" s="10" t="n">
        <f aca="false">IF(D275="OLUMSUZ",1,0)</f>
        <v>0</v>
      </c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H276" s="10" t="n">
        <f aca="false">IF(D276="OLUMLU",1,0)</f>
        <v>0</v>
      </c>
      <c r="I276" s="10" t="n">
        <f aca="false">IF(D276="OLUMSUZ",1,0)</f>
        <v>0</v>
      </c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H277" s="10"/>
      <c r="I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H278" s="10"/>
      <c r="I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H279" s="10"/>
      <c r="I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H280" s="10"/>
      <c r="I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H281" s="10"/>
      <c r="I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H282" s="10"/>
      <c r="I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H283" s="10"/>
      <c r="I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H284" s="10"/>
      <c r="I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H285" s="10"/>
      <c r="I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H286" s="10"/>
      <c r="I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H287" s="10"/>
      <c r="I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H288" s="10"/>
      <c r="I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H289" s="10"/>
      <c r="I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H290" s="10"/>
      <c r="I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H291" s="10"/>
      <c r="I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H292" s="10"/>
      <c r="I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H293" s="10"/>
      <c r="I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H294" s="10"/>
      <c r="I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H295" s="10"/>
      <c r="I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H296" s="10"/>
      <c r="I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H297" s="10"/>
      <c r="I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H298" s="10"/>
      <c r="I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H299" s="10"/>
      <c r="I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H300" s="10"/>
      <c r="I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H301" s="10"/>
      <c r="I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H302" s="10"/>
      <c r="I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H303" s="10"/>
      <c r="I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H304" s="10"/>
      <c r="I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H305" s="10"/>
      <c r="I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H306" s="10"/>
      <c r="I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H307" s="10"/>
      <c r="I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H308" s="10"/>
      <c r="I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H309" s="10"/>
      <c r="I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H310" s="10"/>
      <c r="I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H311" s="10"/>
      <c r="I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H312" s="10"/>
      <c r="I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H313" s="10"/>
      <c r="I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H314" s="10"/>
      <c r="I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H315" s="10"/>
      <c r="I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H316" s="10"/>
      <c r="I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H317" s="10"/>
      <c r="I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H318" s="10"/>
      <c r="I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H319" s="10"/>
      <c r="I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H320" s="10"/>
      <c r="I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H321" s="10"/>
      <c r="I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H322" s="10"/>
      <c r="I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H323" s="10"/>
      <c r="I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H324" s="10"/>
      <c r="I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H325" s="10"/>
      <c r="I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H326" s="10"/>
      <c r="I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H327" s="10"/>
      <c r="I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H328" s="10"/>
      <c r="I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H329" s="10"/>
      <c r="I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H330" s="10"/>
      <c r="I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H331" s="10"/>
      <c r="I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H332" s="10"/>
      <c r="I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H333" s="10"/>
      <c r="I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H334" s="10"/>
      <c r="I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H335" s="10"/>
      <c r="I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H336" s="10"/>
      <c r="I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H337" s="10"/>
      <c r="I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H338" s="10"/>
      <c r="I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H339" s="10"/>
      <c r="I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H340" s="10"/>
      <c r="I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H341" s="10"/>
      <c r="I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H342" s="10"/>
      <c r="I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H343" s="10"/>
      <c r="I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H344" s="10"/>
      <c r="I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H345" s="10"/>
      <c r="I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H346" s="10"/>
      <c r="I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H347" s="10"/>
      <c r="I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H348" s="10"/>
      <c r="I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H349" s="10"/>
      <c r="I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H350" s="10"/>
      <c r="I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H351" s="10"/>
      <c r="I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H352" s="10"/>
      <c r="I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H353" s="10"/>
      <c r="I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H354" s="10"/>
      <c r="I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H355" s="10"/>
      <c r="I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H356" s="10"/>
      <c r="I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H357" s="10"/>
      <c r="I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H358" s="10"/>
      <c r="I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H359" s="10"/>
      <c r="I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H360" s="10"/>
      <c r="I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H361" s="10"/>
      <c r="I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H362" s="10"/>
      <c r="I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H363" s="10"/>
      <c r="I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H364" s="10"/>
      <c r="I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H365" s="10"/>
      <c r="I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H366" s="10"/>
      <c r="I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H367" s="10"/>
      <c r="I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H368" s="10"/>
      <c r="I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H369" s="10"/>
      <c r="I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H370" s="10"/>
      <c r="I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H371" s="10"/>
      <c r="I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H372" s="10"/>
      <c r="I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H373" s="10"/>
      <c r="I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H374" s="10"/>
      <c r="I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H375" s="10"/>
      <c r="I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H376" s="10"/>
      <c r="I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H377" s="10"/>
      <c r="I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H378" s="10"/>
      <c r="I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H379" s="10"/>
      <c r="I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H380" s="10"/>
      <c r="I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H381" s="10"/>
      <c r="I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H382" s="10"/>
      <c r="I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H383" s="10"/>
      <c r="I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H384" s="10"/>
      <c r="I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H385" s="10"/>
      <c r="I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H386" s="10"/>
      <c r="I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H387" s="10"/>
      <c r="I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H388" s="10"/>
      <c r="I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H389" s="10"/>
      <c r="I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H390" s="10"/>
      <c r="I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H391" s="10"/>
      <c r="I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H392" s="10"/>
      <c r="I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H393" s="10"/>
      <c r="I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H394" s="10"/>
      <c r="I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H395" s="10"/>
      <c r="I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H396" s="10"/>
      <c r="I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H397" s="10"/>
      <c r="I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H398" s="10"/>
      <c r="I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H399" s="10"/>
      <c r="I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H400" s="10"/>
      <c r="I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H401" s="10"/>
      <c r="I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H402" s="10"/>
      <c r="I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H403" s="10"/>
      <c r="I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H404" s="10"/>
      <c r="I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H405" s="10"/>
      <c r="I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H406" s="10"/>
      <c r="I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H407" s="10"/>
      <c r="I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H408" s="10"/>
      <c r="I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H409" s="10"/>
      <c r="I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H410" s="10"/>
      <c r="I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H411" s="10"/>
      <c r="I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H412" s="10"/>
      <c r="I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H413" s="10"/>
      <c r="I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H414" s="10"/>
      <c r="I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H415" s="10"/>
      <c r="I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H416" s="10"/>
      <c r="I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H417" s="10"/>
      <c r="I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H418" s="10"/>
      <c r="I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H419" s="10"/>
      <c r="I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H420" s="10"/>
      <c r="I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H421" s="10"/>
      <c r="I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H422" s="10"/>
      <c r="I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H423" s="10"/>
      <c r="I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H424" s="10"/>
      <c r="I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H425" s="10"/>
      <c r="I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H426" s="10"/>
      <c r="I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H427" s="10"/>
      <c r="I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H428" s="10"/>
      <c r="I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H429" s="10"/>
      <c r="I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H430" s="10"/>
      <c r="I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H431" s="10"/>
      <c r="I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H432" s="10"/>
      <c r="I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H433" s="10"/>
      <c r="I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H434" s="10"/>
      <c r="I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H435" s="10"/>
      <c r="I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H436" s="10"/>
      <c r="I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H437" s="10"/>
      <c r="I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H438" s="10"/>
      <c r="I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H439" s="10"/>
      <c r="I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H440" s="10"/>
      <c r="I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H441" s="10"/>
      <c r="I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H442" s="10"/>
      <c r="I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H443" s="10"/>
      <c r="I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H444" s="10"/>
      <c r="I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H445" s="10"/>
      <c r="I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H446" s="10"/>
      <c r="I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H447" s="10"/>
      <c r="I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H448" s="10"/>
      <c r="I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H449" s="10"/>
      <c r="I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H450" s="10"/>
      <c r="I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H451" s="10"/>
      <c r="I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H452" s="10"/>
      <c r="I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H453" s="10"/>
      <c r="I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H454" s="10"/>
      <c r="I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H455" s="10"/>
      <c r="I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H456" s="10"/>
      <c r="I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H457" s="10"/>
      <c r="I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H458" s="10"/>
      <c r="I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H459" s="10"/>
      <c r="I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H460" s="10"/>
      <c r="I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H461" s="10"/>
      <c r="I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H462" s="10"/>
      <c r="I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H463" s="10"/>
      <c r="I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H464" s="10"/>
      <c r="I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H465" s="10"/>
      <c r="I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H466" s="10"/>
      <c r="I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H467" s="10"/>
      <c r="I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H468" s="10"/>
      <c r="I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H469" s="10"/>
      <c r="I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H470" s="10"/>
      <c r="I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H471" s="10"/>
      <c r="I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H472" s="10"/>
      <c r="I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H473" s="10"/>
      <c r="I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H474" s="10"/>
      <c r="I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H475" s="10"/>
      <c r="I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H476" s="10"/>
      <c r="I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H477" s="10"/>
      <c r="I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H478" s="10"/>
      <c r="I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H479" s="10"/>
      <c r="I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H480" s="10"/>
      <c r="I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H481" s="10"/>
      <c r="I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H482" s="10"/>
      <c r="I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H483" s="10"/>
      <c r="I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H484" s="10"/>
      <c r="I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H485" s="10"/>
      <c r="I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H486" s="10"/>
      <c r="I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H487" s="10"/>
      <c r="I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H488" s="10"/>
      <c r="I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H489" s="10"/>
      <c r="I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H490" s="10"/>
      <c r="I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H491" s="10"/>
      <c r="I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H492" s="10"/>
      <c r="I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H493" s="10"/>
      <c r="I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H494" s="10"/>
      <c r="I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H495" s="10"/>
      <c r="I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H496" s="10"/>
      <c r="I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H497" s="10"/>
      <c r="I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H498" s="10"/>
      <c r="I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H499" s="10"/>
      <c r="I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H500" s="10"/>
      <c r="I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H501" s="10"/>
      <c r="I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H502" s="10"/>
      <c r="I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H503" s="10"/>
      <c r="I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H504" s="10"/>
      <c r="I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H505" s="10"/>
      <c r="I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H506" s="10"/>
      <c r="I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H507" s="10"/>
      <c r="I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H508" s="10"/>
      <c r="I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H509" s="10"/>
      <c r="I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H510" s="10"/>
      <c r="I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H511" s="10"/>
      <c r="I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H512" s="10"/>
      <c r="I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H513" s="10"/>
      <c r="I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H514" s="10"/>
      <c r="I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H515" s="10"/>
      <c r="I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H516" s="10"/>
      <c r="I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H517" s="10"/>
      <c r="I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H518" s="10"/>
      <c r="I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H519" s="10"/>
      <c r="I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H520" s="10"/>
      <c r="I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H521" s="10"/>
      <c r="I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H522" s="10"/>
      <c r="I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H523" s="10"/>
      <c r="I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H524" s="10"/>
      <c r="I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H525" s="10"/>
      <c r="I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H526" s="10"/>
      <c r="I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H527" s="10"/>
      <c r="I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H528" s="10"/>
      <c r="I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H529" s="10"/>
      <c r="I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H530" s="10"/>
      <c r="I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H531" s="10"/>
      <c r="I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H532" s="10"/>
      <c r="I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H533" s="10"/>
      <c r="I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H534" s="10"/>
      <c r="I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H535" s="10"/>
      <c r="I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H536" s="10"/>
      <c r="I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H537" s="10"/>
      <c r="I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H538" s="10"/>
      <c r="I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H539" s="10"/>
      <c r="I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H540" s="10"/>
      <c r="I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H541" s="10"/>
      <c r="I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H542" s="10"/>
      <c r="I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H543" s="10"/>
      <c r="I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H544" s="10"/>
      <c r="I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H545" s="10"/>
      <c r="I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H546" s="10"/>
      <c r="I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H547" s="10"/>
      <c r="I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H548" s="10"/>
      <c r="I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H549" s="10"/>
      <c r="I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H550" s="10"/>
      <c r="I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H551" s="10"/>
      <c r="I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H552" s="10"/>
      <c r="I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H553" s="10"/>
      <c r="I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H554" s="10"/>
      <c r="I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H555" s="10"/>
      <c r="I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H556" s="10"/>
      <c r="I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H557" s="10"/>
      <c r="I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H558" s="10"/>
      <c r="I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H559" s="10"/>
      <c r="I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H560" s="10"/>
      <c r="I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H561" s="10"/>
      <c r="I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H562" s="10"/>
      <c r="I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H563" s="10"/>
      <c r="I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H564" s="10"/>
      <c r="I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H565" s="10"/>
      <c r="I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H566" s="10"/>
      <c r="I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H567" s="10"/>
      <c r="I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H568" s="10"/>
      <c r="I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H569" s="10"/>
      <c r="I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H570" s="10"/>
      <c r="I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H571" s="10"/>
      <c r="I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H572" s="10"/>
      <c r="I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H573" s="10"/>
      <c r="I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H574" s="10"/>
      <c r="I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H575" s="10"/>
      <c r="I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H576" s="10"/>
      <c r="I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H577" s="10"/>
      <c r="I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H578" s="10"/>
      <c r="I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H579" s="10"/>
      <c r="I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H580" s="10"/>
      <c r="I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H581" s="10"/>
      <c r="I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H582" s="10"/>
      <c r="I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H583" s="10"/>
      <c r="I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H584" s="10"/>
      <c r="I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H585" s="10"/>
      <c r="I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H586" s="10"/>
      <c r="I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H587" s="10"/>
      <c r="I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H588" s="10"/>
      <c r="I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H589" s="10"/>
      <c r="I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H590" s="10"/>
      <c r="I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H591" s="10"/>
      <c r="I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H592" s="10"/>
      <c r="I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H593" s="10"/>
      <c r="I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H594" s="10"/>
      <c r="I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H595" s="10"/>
      <c r="I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H596" s="10"/>
      <c r="I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H597" s="10"/>
      <c r="I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H598" s="10"/>
      <c r="I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H599" s="10"/>
      <c r="I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H600" s="10"/>
      <c r="I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H601" s="10"/>
      <c r="I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H602" s="10"/>
      <c r="I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H603" s="10"/>
      <c r="I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H604" s="10"/>
      <c r="I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H605" s="10"/>
      <c r="I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H606" s="10"/>
      <c r="I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H607" s="10"/>
      <c r="I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H608" s="10"/>
      <c r="I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H609" s="10"/>
      <c r="I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H610" s="10"/>
      <c r="I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H611" s="10"/>
      <c r="I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H612" s="10"/>
      <c r="I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H613" s="10"/>
      <c r="I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H614" s="10"/>
      <c r="I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H615" s="10"/>
      <c r="I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H616" s="10"/>
      <c r="I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H617" s="10"/>
      <c r="I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H618" s="10"/>
      <c r="I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H619" s="10"/>
      <c r="I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H620" s="10"/>
      <c r="I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H621" s="10"/>
      <c r="I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H622" s="10"/>
      <c r="I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H623" s="10"/>
      <c r="I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H624" s="10"/>
      <c r="I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H625" s="10"/>
      <c r="I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H626" s="10"/>
      <c r="I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H627" s="10"/>
      <c r="I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H628" s="10"/>
      <c r="I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H629" s="10"/>
      <c r="I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H630" s="10"/>
      <c r="I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H631" s="10"/>
      <c r="I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H632" s="10"/>
      <c r="I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H633" s="10"/>
      <c r="I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H634" s="10"/>
      <c r="I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H635" s="10"/>
      <c r="I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H636" s="10"/>
      <c r="I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H637" s="10"/>
      <c r="I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H638" s="10"/>
      <c r="I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H639" s="10"/>
      <c r="I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H640" s="10"/>
      <c r="I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H641" s="10"/>
      <c r="I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H642" s="10"/>
      <c r="I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H643" s="10"/>
      <c r="I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H644" s="10"/>
      <c r="I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H645" s="10"/>
      <c r="I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H646" s="10"/>
      <c r="I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H647" s="10"/>
      <c r="I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H648" s="10"/>
      <c r="I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H649" s="10"/>
      <c r="I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H650" s="10"/>
      <c r="I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H651" s="10"/>
      <c r="I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H652" s="10"/>
      <c r="I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H653" s="10"/>
      <c r="I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H654" s="10"/>
      <c r="I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H655" s="10"/>
      <c r="I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H656" s="10"/>
      <c r="I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H657" s="10"/>
      <c r="I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H658" s="10"/>
      <c r="I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H659" s="10"/>
      <c r="I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H660" s="10"/>
      <c r="I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H661" s="10"/>
      <c r="I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H662" s="10"/>
      <c r="I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H663" s="10"/>
      <c r="I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H664" s="10"/>
      <c r="I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H665" s="10"/>
      <c r="I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H666" s="10"/>
      <c r="I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H667" s="10"/>
      <c r="I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H668" s="10"/>
      <c r="I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H669" s="10"/>
      <c r="I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H670" s="10"/>
      <c r="I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H671" s="10"/>
      <c r="I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H672" s="10"/>
      <c r="I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H673" s="10"/>
      <c r="I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H674" s="10"/>
      <c r="I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H675" s="10"/>
      <c r="I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H676" s="10"/>
      <c r="I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H677" s="10"/>
      <c r="I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H678" s="10"/>
      <c r="I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H679" s="10"/>
      <c r="I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H680" s="10"/>
      <c r="I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H681" s="10"/>
      <c r="I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H682" s="10"/>
      <c r="I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H683" s="10"/>
      <c r="I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H684" s="10"/>
      <c r="I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H685" s="10"/>
      <c r="I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H686" s="10"/>
      <c r="I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H687" s="10"/>
      <c r="I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H688" s="10"/>
      <c r="I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H689" s="10"/>
      <c r="I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H690" s="10"/>
      <c r="I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H691" s="10"/>
      <c r="I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H692" s="10"/>
      <c r="I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H693" s="10"/>
      <c r="I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H694" s="10"/>
      <c r="I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H695" s="10"/>
      <c r="I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H696" s="10"/>
      <c r="I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H697" s="10"/>
      <c r="I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H698" s="10"/>
      <c r="I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H699" s="10"/>
      <c r="I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H700" s="10"/>
      <c r="I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H701" s="10"/>
      <c r="I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H702" s="10"/>
      <c r="I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H703" s="10"/>
      <c r="I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H704" s="10"/>
      <c r="I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H705" s="10"/>
      <c r="I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H706" s="10"/>
      <c r="I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H707" s="10"/>
      <c r="I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H708" s="10"/>
      <c r="I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H709" s="10"/>
      <c r="I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H710" s="10"/>
      <c r="I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H711" s="10"/>
      <c r="I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H712" s="10"/>
      <c r="I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H713" s="10"/>
      <c r="I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H714" s="10"/>
      <c r="I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H715" s="10"/>
      <c r="I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H716" s="10"/>
      <c r="I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H717" s="10"/>
      <c r="I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H718" s="10"/>
      <c r="I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H719" s="10"/>
      <c r="I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H720" s="10"/>
      <c r="I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H721" s="10"/>
      <c r="I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H722" s="10"/>
      <c r="I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H723" s="10"/>
      <c r="I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H724" s="10"/>
      <c r="I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H725" s="10"/>
      <c r="I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H726" s="10"/>
      <c r="I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H727" s="10"/>
      <c r="I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H728" s="10"/>
      <c r="I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H729" s="10"/>
      <c r="I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H730" s="10"/>
      <c r="I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H731" s="10"/>
      <c r="I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H732" s="10"/>
      <c r="I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H733" s="10"/>
      <c r="I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H734" s="10"/>
      <c r="I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H735" s="10"/>
      <c r="I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H736" s="10"/>
      <c r="I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H737" s="10"/>
      <c r="I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H738" s="10"/>
      <c r="I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H739" s="10"/>
      <c r="I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H740" s="10"/>
      <c r="I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H741" s="10"/>
      <c r="I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H742" s="10"/>
      <c r="I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H743" s="10"/>
      <c r="I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H744" s="10"/>
      <c r="I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H745" s="10"/>
      <c r="I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H746" s="10"/>
      <c r="I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H747" s="10"/>
      <c r="I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H748" s="10"/>
      <c r="I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H749" s="10"/>
      <c r="I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H750" s="10"/>
      <c r="I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H751" s="10"/>
      <c r="I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H752" s="10"/>
      <c r="I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H753" s="10"/>
      <c r="I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H754" s="10"/>
      <c r="I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H755" s="10"/>
      <c r="I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H756" s="10"/>
      <c r="I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H757" s="10"/>
      <c r="I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H758" s="10"/>
      <c r="I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H759" s="10"/>
      <c r="I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H760" s="10"/>
      <c r="I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H761" s="10"/>
      <c r="I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H762" s="10"/>
      <c r="I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H763" s="10"/>
      <c r="I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H764" s="10"/>
      <c r="I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H765" s="10"/>
      <c r="I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H766" s="10"/>
      <c r="I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H767" s="10"/>
      <c r="I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H768" s="10"/>
      <c r="I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H769" s="10"/>
      <c r="I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H770" s="10"/>
      <c r="I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H771" s="10"/>
      <c r="I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H772" s="10"/>
      <c r="I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H773" s="10"/>
      <c r="I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H774" s="10"/>
      <c r="I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H775" s="10"/>
      <c r="I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H776" s="10"/>
      <c r="I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H777" s="10"/>
      <c r="I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H778" s="10"/>
      <c r="I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H779" s="10"/>
      <c r="I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H780" s="10"/>
      <c r="I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H781" s="10"/>
      <c r="I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H782" s="10"/>
      <c r="I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H783" s="10"/>
      <c r="I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H784" s="10"/>
      <c r="I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H785" s="10"/>
      <c r="I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H786" s="10"/>
      <c r="I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H787" s="10"/>
      <c r="I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H788" s="10"/>
      <c r="I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H789" s="10"/>
      <c r="I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H790" s="10"/>
      <c r="I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H791" s="10"/>
      <c r="I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H792" s="10"/>
      <c r="I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H793" s="10"/>
      <c r="I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H794" s="10"/>
      <c r="I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H795" s="10"/>
      <c r="I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H796" s="10"/>
      <c r="I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H797" s="10"/>
      <c r="I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H798" s="10"/>
      <c r="I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H799" s="10"/>
      <c r="I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H800" s="10"/>
      <c r="I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H801" s="10"/>
      <c r="I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H802" s="10"/>
      <c r="I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H803" s="10"/>
      <c r="I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H804" s="10"/>
      <c r="I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H805" s="10"/>
      <c r="I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H806" s="10"/>
      <c r="I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H807" s="10"/>
      <c r="I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H808" s="10"/>
      <c r="I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H809" s="10"/>
      <c r="I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H810" s="10"/>
      <c r="I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H811" s="10"/>
      <c r="I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H812" s="10"/>
      <c r="I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H813" s="10"/>
      <c r="I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H814" s="10"/>
      <c r="I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H815" s="10"/>
      <c r="I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H816" s="10"/>
      <c r="I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H817" s="10"/>
      <c r="I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H818" s="10"/>
      <c r="I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H819" s="10"/>
      <c r="I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H820" s="10"/>
      <c r="I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H821" s="10"/>
      <c r="I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H822" s="10"/>
      <c r="I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H823" s="10"/>
      <c r="I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H824" s="10"/>
      <c r="I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H825" s="10"/>
      <c r="I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H826" s="10"/>
      <c r="I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H827" s="10"/>
      <c r="I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H828" s="10"/>
      <c r="I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H829" s="10"/>
      <c r="I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H830" s="10"/>
      <c r="I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H831" s="10"/>
      <c r="I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H832" s="10"/>
      <c r="I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H833" s="10"/>
      <c r="I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H834" s="10"/>
      <c r="I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H835" s="10"/>
      <c r="I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H836" s="10"/>
      <c r="I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H837" s="10"/>
      <c r="I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H838" s="10"/>
      <c r="I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H839" s="10"/>
      <c r="I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H840" s="10"/>
      <c r="I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H841" s="10"/>
      <c r="I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H842" s="10"/>
      <c r="I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H843" s="10"/>
      <c r="I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H844" s="10"/>
      <c r="I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H845" s="10"/>
      <c r="I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H846" s="10"/>
      <c r="I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H847" s="10"/>
      <c r="I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H848" s="10"/>
      <c r="I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H849" s="10"/>
      <c r="I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H850" s="10"/>
      <c r="I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H851" s="10"/>
      <c r="I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H852" s="10"/>
      <c r="I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H853" s="10"/>
      <c r="I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H854" s="10"/>
      <c r="I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H855" s="10"/>
      <c r="I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H856" s="10"/>
      <c r="I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H857" s="10"/>
      <c r="I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H858" s="10"/>
      <c r="I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H859" s="10"/>
      <c r="I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H860" s="10"/>
      <c r="I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H861" s="10"/>
      <c r="I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H862" s="10"/>
      <c r="I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H863" s="10"/>
      <c r="I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H864" s="10"/>
      <c r="I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H865" s="10"/>
      <c r="I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H866" s="10"/>
      <c r="I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H867" s="10"/>
      <c r="I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H868" s="10"/>
      <c r="I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H869" s="10"/>
      <c r="I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H870" s="10"/>
      <c r="I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H871" s="10"/>
      <c r="I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H872" s="10"/>
      <c r="I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H873" s="10"/>
      <c r="I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H874" s="10"/>
      <c r="I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H875" s="10"/>
      <c r="I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H876" s="10"/>
      <c r="I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H877" s="10"/>
      <c r="I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H878" s="10"/>
      <c r="I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H879" s="10"/>
      <c r="I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H880" s="10"/>
      <c r="I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H881" s="10"/>
      <c r="I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H882" s="10"/>
      <c r="I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H883" s="10"/>
      <c r="I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H884" s="10"/>
      <c r="I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H885" s="10"/>
      <c r="I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H886" s="10"/>
      <c r="I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H887" s="10"/>
      <c r="I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H888" s="10"/>
      <c r="I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H889" s="10"/>
      <c r="I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H890" s="10"/>
      <c r="I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H891" s="10"/>
      <c r="I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H892" s="10"/>
      <c r="I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H893" s="10"/>
      <c r="I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H894" s="10"/>
      <c r="I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H895" s="10"/>
      <c r="I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H896" s="10"/>
      <c r="I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H897" s="10"/>
      <c r="I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H898" s="10"/>
      <c r="I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H899" s="10"/>
      <c r="I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H900" s="10"/>
      <c r="I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H901" s="10"/>
      <c r="I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H902" s="10"/>
      <c r="I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H903" s="10"/>
      <c r="I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H904" s="10"/>
      <c r="I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H905" s="10"/>
      <c r="I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H906" s="10"/>
      <c r="I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H907" s="10"/>
      <c r="I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H908" s="10"/>
      <c r="I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H909" s="10"/>
      <c r="I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H910" s="10"/>
      <c r="I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H911" s="10"/>
      <c r="I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H912" s="10"/>
      <c r="I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H913" s="10"/>
      <c r="I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H914" s="10"/>
      <c r="I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H915" s="10"/>
      <c r="I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H916" s="10"/>
      <c r="I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H917" s="10"/>
      <c r="I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H918" s="10"/>
      <c r="I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H919" s="10"/>
      <c r="I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H920" s="10"/>
      <c r="I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H921" s="10"/>
      <c r="I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H922" s="10"/>
      <c r="I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H923" s="10"/>
      <c r="I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H924" s="10"/>
      <c r="I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H925" s="10"/>
      <c r="I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H926" s="10"/>
      <c r="I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H927" s="10"/>
      <c r="I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H928" s="10"/>
      <c r="I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H929" s="10"/>
      <c r="I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H930" s="10"/>
      <c r="I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H931" s="10"/>
      <c r="I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H932" s="10"/>
      <c r="I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H933" s="10"/>
      <c r="I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H934" s="10"/>
      <c r="I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H935" s="10"/>
      <c r="I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H936" s="10"/>
      <c r="I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H937" s="10"/>
      <c r="I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H938" s="10"/>
      <c r="I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H939" s="10"/>
      <c r="I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H940" s="10"/>
      <c r="I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H941" s="10"/>
      <c r="I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H942" s="10"/>
      <c r="I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H943" s="10"/>
      <c r="I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H944" s="10"/>
      <c r="I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H945" s="10"/>
      <c r="I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H946" s="10"/>
      <c r="I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H947" s="10"/>
      <c r="I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H948" s="10"/>
      <c r="I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H949" s="10"/>
      <c r="I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H950" s="10"/>
      <c r="I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H951" s="10"/>
      <c r="I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H952" s="10"/>
      <c r="I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H953" s="10"/>
      <c r="I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H954" s="10"/>
      <c r="I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H955" s="10"/>
      <c r="I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H956" s="10"/>
      <c r="I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H957" s="10"/>
      <c r="I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H958" s="10"/>
      <c r="I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H959" s="10"/>
      <c r="I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H960" s="10"/>
      <c r="I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H961" s="10"/>
      <c r="I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H962" s="10"/>
      <c r="I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H963" s="10"/>
      <c r="I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H964" s="10"/>
      <c r="I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H965" s="10"/>
      <c r="I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H966" s="10"/>
      <c r="I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H967" s="10"/>
      <c r="I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H968" s="10"/>
      <c r="I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H969" s="10"/>
      <c r="I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H970" s="10"/>
      <c r="I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H971" s="10"/>
      <c r="I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H972" s="10"/>
      <c r="I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H973" s="10"/>
      <c r="I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H974" s="10"/>
      <c r="I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H975" s="10"/>
      <c r="I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H976" s="10"/>
      <c r="I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H977" s="10"/>
      <c r="I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H978" s="10"/>
      <c r="I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H979" s="10"/>
      <c r="I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H980" s="10"/>
      <c r="I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H981" s="10"/>
      <c r="I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H982" s="10"/>
      <c r="I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H983" s="10"/>
      <c r="I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H984" s="10"/>
      <c r="I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H985" s="10"/>
      <c r="I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H986" s="10"/>
      <c r="I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H987" s="10"/>
      <c r="I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H988" s="10"/>
      <c r="I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H989" s="10"/>
      <c r="I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H990" s="10"/>
      <c r="I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H991" s="10"/>
      <c r="I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H992" s="10"/>
      <c r="I992" s="10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10"/>
      <c r="H993" s="10"/>
      <c r="I993" s="10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10"/>
      <c r="H994" s="10"/>
      <c r="I994" s="10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10"/>
      <c r="H995" s="10"/>
      <c r="I995" s="10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10"/>
      <c r="H996" s="10"/>
      <c r="I996" s="10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10"/>
      <c r="H997" s="10"/>
      <c r="I997" s="10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10"/>
      <c r="H998" s="10"/>
      <c r="I998" s="10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10"/>
      <c r="H999" s="10"/>
      <c r="I999" s="10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10"/>
      <c r="H1000" s="10"/>
      <c r="I1000" s="10"/>
    </row>
  </sheetData>
  <autoFilter ref="A1:G1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26" min="3" style="1" width="8.71"/>
  </cols>
  <sheetData>
    <row r="1" customFormat="false" ht="17.25" hidden="false" customHeight="true" outlineLevel="0" collapsed="false">
      <c r="A1" s="14" t="s">
        <v>216</v>
      </c>
      <c r="B1" s="14"/>
      <c r="C1" s="14"/>
      <c r="D1" s="14"/>
    </row>
    <row r="2" customFormat="false" ht="15" hidden="false" customHeight="true" outlineLevel="0" collapsed="false">
      <c r="A2" s="15" t="s">
        <v>217</v>
      </c>
      <c r="B2" s="15"/>
      <c r="C2" s="15"/>
      <c r="D2" s="15"/>
    </row>
    <row r="3" customFormat="false" ht="15" hidden="false" customHeight="false" outlineLevel="0" collapsed="false">
      <c r="A3" s="10"/>
      <c r="B3" s="10"/>
    </row>
    <row r="4" customFormat="false" ht="15" hidden="false" customHeight="true" outlineLevel="0" collapsed="false">
      <c r="A4" s="16" t="s">
        <v>218</v>
      </c>
      <c r="B4" s="10"/>
    </row>
    <row r="5" customFormat="false" ht="15" hidden="false" customHeight="true" outlineLevel="0" collapsed="false">
      <c r="A5" s="17" t="s">
        <v>219</v>
      </c>
      <c r="B5" s="17" t="s">
        <v>220</v>
      </c>
    </row>
    <row r="6" customFormat="false" ht="15" hidden="false" customHeight="true" outlineLevel="0" collapsed="false">
      <c r="A6" s="18" t="s">
        <v>221</v>
      </c>
      <c r="B6" s="19" t="n">
        <f aca="false">SUBTOTAL(109,Veri!G:G)</f>
        <v>135857.98</v>
      </c>
    </row>
    <row r="7" customFormat="false" ht="15" hidden="false" customHeight="false" outlineLevel="0" collapsed="false">
      <c r="A7" s="10"/>
      <c r="B7" s="10"/>
    </row>
    <row r="8" customFormat="false" ht="15" hidden="false" customHeight="false" outlineLevel="0" collapsed="false">
      <c r="A8" s="10"/>
      <c r="B8" s="10"/>
    </row>
    <row r="9" customFormat="false" ht="15" hidden="false" customHeight="true" outlineLevel="0" collapsed="false">
      <c r="A9" s="16" t="s">
        <v>222</v>
      </c>
      <c r="B9" s="10"/>
    </row>
    <row r="10" customFormat="false" ht="15" hidden="false" customHeight="true" outlineLevel="0" collapsed="false">
      <c r="A10" s="17" t="s">
        <v>219</v>
      </c>
      <c r="B10" s="17" t="s">
        <v>223</v>
      </c>
    </row>
    <row r="11" customFormat="false" ht="15" hidden="false" customHeight="true" outlineLevel="0" collapsed="false">
      <c r="A11" s="18" t="s">
        <v>224</v>
      </c>
      <c r="B11" s="20" t="n">
        <f aca="false">SUBTOTAL(103,Veri!A2:A1000)</f>
        <v>203</v>
      </c>
    </row>
    <row r="12" customFormat="false" ht="15" hidden="false" customHeight="false" outlineLevel="0" collapsed="false">
      <c r="A12" s="10"/>
      <c r="B12" s="10"/>
    </row>
    <row r="13" customFormat="false" ht="15" hidden="false" customHeight="false" outlineLevel="0" collapsed="false">
      <c r="A13" s="10"/>
      <c r="B13" s="10"/>
    </row>
    <row r="14" customFormat="false" ht="15" hidden="false" customHeight="true" outlineLevel="0" collapsed="false">
      <c r="A14" s="16" t="s">
        <v>225</v>
      </c>
      <c r="B14" s="10"/>
    </row>
    <row r="15" customFormat="false" ht="15" hidden="false" customHeight="true" outlineLevel="0" collapsed="false">
      <c r="A15" s="17" t="s">
        <v>3</v>
      </c>
      <c r="B15" s="17" t="s">
        <v>226</v>
      </c>
    </row>
    <row r="16" customFormat="false" ht="15" hidden="false" customHeight="true" outlineLevel="0" collapsed="false">
      <c r="A16" s="21" t="s">
        <v>227</v>
      </c>
      <c r="B16" s="20" t="n">
        <f aca="false">SUBTOTAL(109,Veri!H:H)</f>
        <v>90</v>
      </c>
    </row>
    <row r="17" customFormat="false" ht="15" hidden="false" customHeight="true" outlineLevel="0" collapsed="false">
      <c r="A17" s="21" t="s">
        <v>228</v>
      </c>
      <c r="B17" s="20" t="n">
        <f aca="false">SUBTOTAL(109,Veri!I:I)</f>
        <v>108</v>
      </c>
    </row>
    <row r="18" customFormat="false" ht="15" hidden="false" customHeight="true" outlineLevel="0" collapsed="false">
      <c r="A18" s="22" t="s">
        <v>229</v>
      </c>
      <c r="B18" s="23" t="n">
        <f aca="false">B16+B17</f>
        <v>198</v>
      </c>
    </row>
    <row r="19" customFormat="false" ht="15" hidden="false" customHeight="false" outlineLevel="0" collapsed="false">
      <c r="A19" s="10"/>
      <c r="B19" s="10"/>
    </row>
    <row r="20" customFormat="false" ht="15" hidden="false" customHeight="false" outlineLevel="0" collapsed="false">
      <c r="A20" s="10"/>
      <c r="B20" s="10"/>
    </row>
    <row r="21" customFormat="false" ht="15.75" hidden="false" customHeight="true" outlineLevel="0" collapsed="false">
      <c r="A21" s="24" t="s">
        <v>230</v>
      </c>
      <c r="B21" s="10"/>
    </row>
    <row r="22" customFormat="false" ht="15.75" hidden="false" customHeight="true" outlineLevel="0" collapsed="false">
      <c r="A22" s="25" t="s">
        <v>231</v>
      </c>
      <c r="B22" s="10"/>
    </row>
    <row r="23" customFormat="false" ht="15.75" hidden="false" customHeight="true" outlineLevel="0" collapsed="false">
      <c r="A23" s="25" t="s">
        <v>232</v>
      </c>
      <c r="B23" s="10"/>
    </row>
    <row r="24" customFormat="false" ht="15.75" hidden="false" customHeight="true" outlineLevel="0" collapsed="false">
      <c r="A24" s="25" t="s">
        <v>233</v>
      </c>
      <c r="B24" s="10"/>
    </row>
    <row r="25" customFormat="false" ht="15.75" hidden="false" customHeight="true" outlineLevel="0" collapsed="false">
      <c r="A25" s="25" t="s">
        <v>234</v>
      </c>
      <c r="B25" s="10"/>
    </row>
    <row r="26" customFormat="false" ht="15.75" hidden="false" customHeight="true" outlineLevel="0" collapsed="false">
      <c r="A26" s="10"/>
      <c r="B26" s="10"/>
    </row>
    <row r="27" customFormat="false" ht="15.75" hidden="false" customHeight="true" outlineLevel="0" collapsed="false">
      <c r="A27" s="10"/>
      <c r="B27" s="10"/>
    </row>
    <row r="28" customFormat="false" ht="15.75" hidden="false" customHeight="true" outlineLevel="0" collapsed="false">
      <c r="A28" s="10"/>
      <c r="B28" s="10"/>
    </row>
    <row r="29" customFormat="false" ht="15.75" hidden="false" customHeight="true" outlineLevel="0" collapsed="false">
      <c r="A29" s="10"/>
      <c r="B29" s="10"/>
    </row>
    <row r="30" customFormat="false" ht="15.75" hidden="false" customHeight="true" outlineLevel="0" collapsed="false">
      <c r="A30" s="10"/>
      <c r="B30" s="10"/>
    </row>
    <row r="31" customFormat="false" ht="15.75" hidden="false" customHeight="true" outlineLevel="0" collapsed="false">
      <c r="A31" s="10"/>
      <c r="B31" s="10"/>
    </row>
    <row r="32" customFormat="false" ht="15.75" hidden="false" customHeight="true" outlineLevel="0" collapsed="false">
      <c r="A32" s="10"/>
      <c r="B32" s="10"/>
    </row>
    <row r="33" customFormat="false" ht="15.75" hidden="false" customHeight="true" outlineLevel="0" collapsed="false">
      <c r="A33" s="10"/>
      <c r="B33" s="10"/>
    </row>
    <row r="34" customFormat="false" ht="15.75" hidden="false" customHeight="true" outlineLevel="0" collapsed="false">
      <c r="A34" s="10"/>
      <c r="B34" s="10"/>
    </row>
    <row r="35" customFormat="false" ht="15.75" hidden="false" customHeight="true" outlineLevel="0" collapsed="false">
      <c r="A35" s="10"/>
      <c r="B35" s="10"/>
    </row>
    <row r="36" customFormat="false" ht="15.75" hidden="false" customHeight="true" outlineLevel="0" collapsed="false">
      <c r="A36" s="10"/>
      <c r="B36" s="10"/>
    </row>
    <row r="37" customFormat="false" ht="15.75" hidden="false" customHeight="true" outlineLevel="0" collapsed="false">
      <c r="A37" s="10"/>
      <c r="B37" s="10"/>
    </row>
    <row r="38" customFormat="false" ht="15.75" hidden="false" customHeight="true" outlineLevel="0" collapsed="false">
      <c r="A38" s="10"/>
      <c r="B38" s="10"/>
    </row>
    <row r="39" customFormat="false" ht="15.75" hidden="false" customHeight="true" outlineLevel="0" collapsed="false">
      <c r="A39" s="10"/>
      <c r="B39" s="10"/>
    </row>
    <row r="40" customFormat="false" ht="15.75" hidden="false" customHeight="true" outlineLevel="0" collapsed="false">
      <c r="A40" s="10"/>
      <c r="B40" s="10"/>
    </row>
    <row r="41" customFormat="false" ht="15.75" hidden="false" customHeight="true" outlineLevel="0" collapsed="false">
      <c r="A41" s="10"/>
      <c r="B41" s="10"/>
    </row>
    <row r="42" customFormat="false" ht="15.75" hidden="false" customHeight="true" outlineLevel="0" collapsed="false">
      <c r="A42" s="10"/>
      <c r="B42" s="10"/>
    </row>
    <row r="43" customFormat="false" ht="15.75" hidden="false" customHeight="true" outlineLevel="0" collapsed="false">
      <c r="A43" s="10"/>
      <c r="B43" s="10"/>
    </row>
    <row r="44" customFormat="false" ht="15.75" hidden="false" customHeight="true" outlineLevel="0" collapsed="false">
      <c r="A44" s="10"/>
      <c r="B44" s="10"/>
    </row>
    <row r="45" customFormat="false" ht="15.75" hidden="false" customHeight="true" outlineLevel="0" collapsed="false">
      <c r="A45" s="10"/>
      <c r="B45" s="10"/>
    </row>
    <row r="46" customFormat="false" ht="15.75" hidden="false" customHeight="true" outlineLevel="0" collapsed="false">
      <c r="A46" s="10"/>
      <c r="B46" s="10"/>
    </row>
    <row r="47" customFormat="false" ht="15.75" hidden="false" customHeight="true" outlineLevel="0" collapsed="false">
      <c r="A47" s="10"/>
      <c r="B47" s="10"/>
    </row>
    <row r="48" customFormat="false" ht="15.75" hidden="false" customHeight="true" outlineLevel="0" collapsed="false">
      <c r="A48" s="10"/>
      <c r="B48" s="10"/>
    </row>
    <row r="49" customFormat="false" ht="15.75" hidden="false" customHeight="true" outlineLevel="0" collapsed="false">
      <c r="A49" s="10"/>
      <c r="B49" s="10"/>
    </row>
    <row r="50" customFormat="false" ht="15.75" hidden="false" customHeight="true" outlineLevel="0" collapsed="false">
      <c r="A50" s="10"/>
      <c r="B50" s="10"/>
    </row>
    <row r="51" customFormat="false" ht="15.75" hidden="false" customHeight="true" outlineLevel="0" collapsed="false">
      <c r="A51" s="10"/>
      <c r="B51" s="10"/>
    </row>
    <row r="52" customFormat="false" ht="15.75" hidden="false" customHeight="true" outlineLevel="0" collapsed="false">
      <c r="A52" s="10"/>
      <c r="B52" s="10"/>
    </row>
    <row r="53" customFormat="false" ht="15.75" hidden="false" customHeight="true" outlineLevel="0" collapsed="false">
      <c r="A53" s="10"/>
      <c r="B53" s="10"/>
    </row>
    <row r="54" customFormat="false" ht="15.75" hidden="false" customHeight="true" outlineLevel="0" collapsed="false">
      <c r="A54" s="10"/>
      <c r="B54" s="10"/>
    </row>
    <row r="55" customFormat="false" ht="15.75" hidden="false" customHeight="true" outlineLevel="0" collapsed="false">
      <c r="A55" s="10"/>
      <c r="B55" s="10"/>
    </row>
    <row r="56" customFormat="false" ht="15.75" hidden="false" customHeight="true" outlineLevel="0" collapsed="false">
      <c r="A56" s="10"/>
      <c r="B56" s="10"/>
    </row>
    <row r="57" customFormat="false" ht="15.75" hidden="false" customHeight="true" outlineLevel="0" collapsed="false">
      <c r="A57" s="10"/>
      <c r="B57" s="10"/>
    </row>
    <row r="58" customFormat="false" ht="15.75" hidden="false" customHeight="true" outlineLevel="0" collapsed="false">
      <c r="A58" s="10"/>
      <c r="B58" s="10"/>
    </row>
    <row r="59" customFormat="false" ht="15.75" hidden="false" customHeight="true" outlineLevel="0" collapsed="false">
      <c r="A59" s="10"/>
      <c r="B59" s="10"/>
    </row>
    <row r="60" customFormat="false" ht="15.75" hidden="false" customHeight="true" outlineLevel="0" collapsed="false">
      <c r="A60" s="10"/>
      <c r="B60" s="10"/>
    </row>
    <row r="61" customFormat="false" ht="15.75" hidden="false" customHeight="true" outlineLevel="0" collapsed="false">
      <c r="A61" s="10"/>
      <c r="B61" s="10"/>
    </row>
    <row r="62" customFormat="false" ht="15.75" hidden="false" customHeight="true" outlineLevel="0" collapsed="false">
      <c r="A62" s="10"/>
      <c r="B62" s="10"/>
    </row>
    <row r="63" customFormat="false" ht="15.75" hidden="false" customHeight="true" outlineLevel="0" collapsed="false">
      <c r="A63" s="10"/>
      <c r="B63" s="10"/>
    </row>
    <row r="64" customFormat="false" ht="15.75" hidden="false" customHeight="true" outlineLevel="0" collapsed="false">
      <c r="A64" s="10"/>
      <c r="B64" s="10"/>
    </row>
    <row r="65" customFormat="false" ht="15.75" hidden="false" customHeight="true" outlineLevel="0" collapsed="false">
      <c r="A65" s="10"/>
      <c r="B65" s="10"/>
    </row>
    <row r="66" customFormat="false" ht="15.75" hidden="false" customHeight="true" outlineLevel="0" collapsed="false">
      <c r="A66" s="10"/>
      <c r="B66" s="10"/>
    </row>
    <row r="67" customFormat="false" ht="15.75" hidden="false" customHeight="true" outlineLevel="0" collapsed="false">
      <c r="A67" s="10"/>
      <c r="B67" s="10"/>
    </row>
    <row r="68" customFormat="false" ht="15.75" hidden="false" customHeight="true" outlineLevel="0" collapsed="false">
      <c r="A68" s="10"/>
      <c r="B68" s="10"/>
    </row>
    <row r="69" customFormat="false" ht="15.75" hidden="false" customHeight="true" outlineLevel="0" collapsed="false">
      <c r="A69" s="10"/>
      <c r="B69" s="10"/>
    </row>
    <row r="70" customFormat="false" ht="15.75" hidden="false" customHeight="true" outlineLevel="0" collapsed="false">
      <c r="A70" s="10"/>
      <c r="B70" s="10"/>
    </row>
    <row r="71" customFormat="false" ht="15.75" hidden="false" customHeight="true" outlineLevel="0" collapsed="false">
      <c r="A71" s="10"/>
      <c r="B71" s="10"/>
    </row>
    <row r="72" customFormat="false" ht="15.75" hidden="false" customHeight="true" outlineLevel="0" collapsed="false">
      <c r="A72" s="10"/>
      <c r="B72" s="10"/>
    </row>
    <row r="73" customFormat="false" ht="15.75" hidden="false" customHeight="true" outlineLevel="0" collapsed="false">
      <c r="A73" s="10"/>
      <c r="B73" s="10"/>
    </row>
    <row r="74" customFormat="false" ht="15.75" hidden="false" customHeight="true" outlineLevel="0" collapsed="false">
      <c r="A74" s="10"/>
      <c r="B74" s="10"/>
    </row>
    <row r="75" customFormat="false" ht="15.75" hidden="false" customHeight="true" outlineLevel="0" collapsed="false">
      <c r="A75" s="10"/>
      <c r="B75" s="10"/>
    </row>
    <row r="76" customFormat="false" ht="15.75" hidden="false" customHeight="true" outlineLevel="0" collapsed="false">
      <c r="A76" s="10"/>
      <c r="B76" s="10"/>
    </row>
    <row r="77" customFormat="false" ht="15.75" hidden="false" customHeight="true" outlineLevel="0" collapsed="false">
      <c r="A77" s="10"/>
      <c r="B77" s="10"/>
    </row>
    <row r="78" customFormat="false" ht="15.75" hidden="false" customHeight="true" outlineLevel="0" collapsed="false">
      <c r="A78" s="10"/>
      <c r="B78" s="10"/>
    </row>
    <row r="79" customFormat="false" ht="15.75" hidden="false" customHeight="true" outlineLevel="0" collapsed="false">
      <c r="A79" s="10"/>
      <c r="B79" s="10"/>
    </row>
    <row r="80" customFormat="false" ht="15.75" hidden="false" customHeight="true" outlineLevel="0" collapsed="false">
      <c r="A80" s="10"/>
      <c r="B80" s="10"/>
    </row>
    <row r="81" customFormat="false" ht="15.75" hidden="false" customHeight="true" outlineLevel="0" collapsed="false">
      <c r="A81" s="10"/>
      <c r="B81" s="10"/>
    </row>
    <row r="82" customFormat="false" ht="15.75" hidden="false" customHeight="true" outlineLevel="0" collapsed="false">
      <c r="A82" s="10"/>
      <c r="B82" s="10"/>
    </row>
    <row r="83" customFormat="false" ht="15.75" hidden="false" customHeight="true" outlineLevel="0" collapsed="false">
      <c r="A83" s="10"/>
      <c r="B83" s="10"/>
    </row>
    <row r="84" customFormat="false" ht="15.75" hidden="false" customHeight="true" outlineLevel="0" collapsed="false">
      <c r="A84" s="10"/>
      <c r="B84" s="10"/>
    </row>
    <row r="85" customFormat="false" ht="15.75" hidden="false" customHeight="true" outlineLevel="0" collapsed="false">
      <c r="A85" s="10"/>
      <c r="B85" s="10"/>
    </row>
    <row r="86" customFormat="false" ht="15.75" hidden="false" customHeight="true" outlineLevel="0" collapsed="false">
      <c r="A86" s="10"/>
      <c r="B86" s="10"/>
    </row>
    <row r="87" customFormat="false" ht="15.75" hidden="false" customHeight="true" outlineLevel="0" collapsed="false">
      <c r="A87" s="10"/>
      <c r="B87" s="10"/>
    </row>
    <row r="88" customFormat="false" ht="15.75" hidden="false" customHeight="true" outlineLevel="0" collapsed="false">
      <c r="A88" s="10"/>
      <c r="B88" s="10"/>
    </row>
    <row r="89" customFormat="false" ht="15.75" hidden="false" customHeight="true" outlineLevel="0" collapsed="false">
      <c r="A89" s="10"/>
      <c r="B89" s="10"/>
    </row>
    <row r="90" customFormat="false" ht="15.75" hidden="false" customHeight="true" outlineLevel="0" collapsed="false">
      <c r="A90" s="10"/>
      <c r="B90" s="10"/>
    </row>
    <row r="91" customFormat="false" ht="15.75" hidden="false" customHeight="true" outlineLevel="0" collapsed="false">
      <c r="A91" s="10"/>
      <c r="B91" s="10"/>
    </row>
    <row r="92" customFormat="false" ht="15.75" hidden="false" customHeight="true" outlineLevel="0" collapsed="false">
      <c r="A92" s="10"/>
      <c r="B92" s="10"/>
    </row>
    <row r="93" customFormat="false" ht="15.75" hidden="false" customHeight="true" outlineLevel="0" collapsed="false">
      <c r="A93" s="10"/>
      <c r="B93" s="10"/>
    </row>
    <row r="94" customFormat="false" ht="15.75" hidden="false" customHeight="true" outlineLevel="0" collapsed="false">
      <c r="A94" s="10"/>
      <c r="B94" s="10"/>
    </row>
    <row r="95" customFormat="false" ht="15.75" hidden="false" customHeight="true" outlineLevel="0" collapsed="false">
      <c r="A95" s="10"/>
      <c r="B95" s="10"/>
    </row>
    <row r="96" customFormat="false" ht="15.75" hidden="false" customHeight="true" outlineLevel="0" collapsed="false">
      <c r="A96" s="10"/>
      <c r="B96" s="10"/>
    </row>
    <row r="97" customFormat="false" ht="15.75" hidden="false" customHeight="true" outlineLevel="0" collapsed="false">
      <c r="A97" s="10"/>
      <c r="B97" s="10"/>
    </row>
    <row r="98" customFormat="false" ht="15.75" hidden="false" customHeight="true" outlineLevel="0" collapsed="false">
      <c r="A98" s="10"/>
      <c r="B98" s="10"/>
    </row>
    <row r="99" customFormat="false" ht="15.75" hidden="false" customHeight="true" outlineLevel="0" collapsed="false">
      <c r="A99" s="10"/>
      <c r="B99" s="10"/>
    </row>
    <row r="100" customFormat="false" ht="15.75" hidden="false" customHeight="true" outlineLevel="0" collapsed="false">
      <c r="A100" s="10"/>
      <c r="B100" s="10"/>
    </row>
    <row r="101" customFormat="false" ht="15.75" hidden="false" customHeight="true" outlineLevel="0" collapsed="false">
      <c r="A101" s="10"/>
      <c r="B101" s="10"/>
    </row>
    <row r="102" customFormat="false" ht="15.75" hidden="false" customHeight="true" outlineLevel="0" collapsed="false">
      <c r="A102" s="10"/>
      <c r="B102" s="10"/>
    </row>
    <row r="103" customFormat="false" ht="15.75" hidden="false" customHeight="true" outlineLevel="0" collapsed="false">
      <c r="A103" s="10"/>
      <c r="B103" s="10"/>
    </row>
    <row r="104" customFormat="false" ht="15.75" hidden="false" customHeight="true" outlineLevel="0" collapsed="false">
      <c r="A104" s="10"/>
      <c r="B104" s="10"/>
    </row>
    <row r="105" customFormat="false" ht="15.75" hidden="false" customHeight="true" outlineLevel="0" collapsed="false">
      <c r="A105" s="10"/>
      <c r="B105" s="10"/>
    </row>
    <row r="106" customFormat="false" ht="15.75" hidden="false" customHeight="true" outlineLevel="0" collapsed="false">
      <c r="A106" s="10"/>
      <c r="B106" s="10"/>
    </row>
    <row r="107" customFormat="false" ht="15.75" hidden="false" customHeight="true" outlineLevel="0" collapsed="false">
      <c r="A107" s="10"/>
      <c r="B107" s="10"/>
    </row>
    <row r="108" customFormat="false" ht="15.75" hidden="false" customHeight="true" outlineLevel="0" collapsed="false">
      <c r="A108" s="10"/>
      <c r="B108" s="10"/>
    </row>
    <row r="109" customFormat="false" ht="15.75" hidden="false" customHeight="true" outlineLevel="0" collapsed="false">
      <c r="A109" s="10"/>
      <c r="B109" s="10"/>
    </row>
    <row r="110" customFormat="false" ht="15.75" hidden="false" customHeight="true" outlineLevel="0" collapsed="false">
      <c r="A110" s="10"/>
      <c r="B110" s="10"/>
    </row>
    <row r="111" customFormat="false" ht="15.75" hidden="false" customHeight="true" outlineLevel="0" collapsed="false">
      <c r="A111" s="10"/>
      <c r="B111" s="10"/>
    </row>
    <row r="112" customFormat="false" ht="15.75" hidden="false" customHeight="true" outlineLevel="0" collapsed="false">
      <c r="A112" s="10"/>
      <c r="B112" s="10"/>
    </row>
    <row r="113" customFormat="false" ht="15.75" hidden="false" customHeight="true" outlineLevel="0" collapsed="false">
      <c r="A113" s="10"/>
      <c r="B113" s="10"/>
    </row>
    <row r="114" customFormat="false" ht="15.75" hidden="false" customHeight="true" outlineLevel="0" collapsed="false">
      <c r="A114" s="10"/>
      <c r="B114" s="10"/>
    </row>
    <row r="115" customFormat="false" ht="15.75" hidden="false" customHeight="true" outlineLevel="0" collapsed="false">
      <c r="A115" s="10"/>
      <c r="B115" s="10"/>
    </row>
    <row r="116" customFormat="false" ht="15.75" hidden="false" customHeight="true" outlineLevel="0" collapsed="false">
      <c r="A116" s="10"/>
      <c r="B116" s="10"/>
    </row>
    <row r="117" customFormat="false" ht="15.75" hidden="false" customHeight="true" outlineLevel="0" collapsed="false">
      <c r="A117" s="10"/>
      <c r="B117" s="10"/>
    </row>
    <row r="118" customFormat="false" ht="15.75" hidden="false" customHeight="true" outlineLevel="0" collapsed="false">
      <c r="A118" s="10"/>
      <c r="B118" s="10"/>
    </row>
    <row r="119" customFormat="false" ht="15.75" hidden="false" customHeight="true" outlineLevel="0" collapsed="false">
      <c r="A119" s="10"/>
      <c r="B119" s="10"/>
    </row>
    <row r="120" customFormat="false" ht="15.75" hidden="false" customHeight="true" outlineLevel="0" collapsed="false">
      <c r="A120" s="10"/>
      <c r="B120" s="10"/>
    </row>
    <row r="121" customFormat="false" ht="15.75" hidden="false" customHeight="true" outlineLevel="0" collapsed="false">
      <c r="A121" s="10"/>
      <c r="B121" s="10"/>
    </row>
    <row r="122" customFormat="false" ht="15.75" hidden="false" customHeight="true" outlineLevel="0" collapsed="false">
      <c r="A122" s="10"/>
      <c r="B122" s="10"/>
    </row>
    <row r="123" customFormat="false" ht="15.75" hidden="false" customHeight="true" outlineLevel="0" collapsed="false">
      <c r="A123" s="10"/>
      <c r="B123" s="10"/>
    </row>
    <row r="124" customFormat="false" ht="15.75" hidden="false" customHeight="true" outlineLevel="0" collapsed="false">
      <c r="A124" s="10"/>
      <c r="B124" s="10"/>
    </row>
    <row r="125" customFormat="false" ht="15.75" hidden="false" customHeight="true" outlineLevel="0" collapsed="false">
      <c r="A125" s="10"/>
      <c r="B125" s="10"/>
    </row>
    <row r="126" customFormat="false" ht="15.75" hidden="false" customHeight="true" outlineLevel="0" collapsed="false">
      <c r="A126" s="10"/>
      <c r="B126" s="10"/>
    </row>
    <row r="127" customFormat="false" ht="15.75" hidden="false" customHeight="true" outlineLevel="0" collapsed="false">
      <c r="A127" s="10"/>
      <c r="B127" s="10"/>
    </row>
    <row r="128" customFormat="false" ht="15.75" hidden="false" customHeight="true" outlineLevel="0" collapsed="false">
      <c r="A128" s="10"/>
      <c r="B128" s="10"/>
    </row>
    <row r="129" customFormat="false" ht="15.75" hidden="false" customHeight="true" outlineLevel="0" collapsed="false">
      <c r="A129" s="10"/>
      <c r="B129" s="10"/>
    </row>
    <row r="130" customFormat="false" ht="15.75" hidden="false" customHeight="true" outlineLevel="0" collapsed="false">
      <c r="A130" s="10"/>
      <c r="B130" s="10"/>
    </row>
    <row r="131" customFormat="false" ht="15.75" hidden="false" customHeight="true" outlineLevel="0" collapsed="false">
      <c r="A131" s="10"/>
      <c r="B131" s="10"/>
    </row>
    <row r="132" customFormat="false" ht="15.75" hidden="false" customHeight="true" outlineLevel="0" collapsed="false">
      <c r="A132" s="10"/>
      <c r="B132" s="10"/>
    </row>
    <row r="133" customFormat="false" ht="15.75" hidden="false" customHeight="true" outlineLevel="0" collapsed="false">
      <c r="A133" s="10"/>
      <c r="B133" s="10"/>
    </row>
    <row r="134" customFormat="false" ht="15.75" hidden="false" customHeight="true" outlineLevel="0" collapsed="false">
      <c r="A134" s="10"/>
      <c r="B134" s="10"/>
    </row>
    <row r="135" customFormat="false" ht="15.75" hidden="false" customHeight="true" outlineLevel="0" collapsed="false">
      <c r="A135" s="10"/>
      <c r="B135" s="10"/>
    </row>
    <row r="136" customFormat="false" ht="15.75" hidden="false" customHeight="true" outlineLevel="0" collapsed="false">
      <c r="A136" s="10"/>
      <c r="B136" s="10"/>
    </row>
    <row r="137" customFormat="false" ht="15.75" hidden="false" customHeight="true" outlineLevel="0" collapsed="false">
      <c r="A137" s="10"/>
      <c r="B137" s="10"/>
    </row>
    <row r="138" customFormat="false" ht="15.75" hidden="false" customHeight="true" outlineLevel="0" collapsed="false">
      <c r="A138" s="10"/>
      <c r="B138" s="10"/>
    </row>
    <row r="139" customFormat="false" ht="15.75" hidden="false" customHeight="true" outlineLevel="0" collapsed="false">
      <c r="A139" s="10"/>
      <c r="B139" s="10"/>
    </row>
    <row r="140" customFormat="false" ht="15.75" hidden="false" customHeight="true" outlineLevel="0" collapsed="false">
      <c r="A140" s="10"/>
      <c r="B140" s="10"/>
    </row>
    <row r="141" customFormat="false" ht="15.75" hidden="false" customHeight="true" outlineLevel="0" collapsed="false">
      <c r="A141" s="10"/>
      <c r="B141" s="10"/>
    </row>
    <row r="142" customFormat="false" ht="15.75" hidden="false" customHeight="true" outlineLevel="0" collapsed="false">
      <c r="A142" s="10"/>
      <c r="B142" s="10"/>
    </row>
    <row r="143" customFormat="false" ht="15.75" hidden="false" customHeight="true" outlineLevel="0" collapsed="false">
      <c r="A143" s="10"/>
      <c r="B143" s="10"/>
    </row>
    <row r="144" customFormat="false" ht="15.75" hidden="false" customHeight="true" outlineLevel="0" collapsed="false">
      <c r="A144" s="10"/>
      <c r="B144" s="10"/>
    </row>
    <row r="145" customFormat="false" ht="15.75" hidden="false" customHeight="true" outlineLevel="0" collapsed="false">
      <c r="A145" s="10"/>
      <c r="B145" s="10"/>
    </row>
    <row r="146" customFormat="false" ht="15.75" hidden="false" customHeight="true" outlineLevel="0" collapsed="false">
      <c r="A146" s="10"/>
      <c r="B146" s="10"/>
    </row>
    <row r="147" customFormat="false" ht="15.75" hidden="false" customHeight="true" outlineLevel="0" collapsed="false">
      <c r="A147" s="10"/>
      <c r="B147" s="10"/>
    </row>
    <row r="148" customFormat="false" ht="15.75" hidden="false" customHeight="true" outlineLevel="0" collapsed="false">
      <c r="A148" s="10"/>
      <c r="B148" s="10"/>
    </row>
    <row r="149" customFormat="false" ht="15.75" hidden="false" customHeight="true" outlineLevel="0" collapsed="false">
      <c r="A149" s="10"/>
      <c r="B149" s="10"/>
    </row>
    <row r="150" customFormat="false" ht="15.75" hidden="false" customHeight="true" outlineLevel="0" collapsed="false">
      <c r="A150" s="10"/>
      <c r="B150" s="10"/>
    </row>
    <row r="151" customFormat="false" ht="15.75" hidden="false" customHeight="true" outlineLevel="0" collapsed="false">
      <c r="A151" s="10"/>
      <c r="B151" s="10"/>
    </row>
    <row r="152" customFormat="false" ht="15.75" hidden="false" customHeight="true" outlineLevel="0" collapsed="false">
      <c r="A152" s="10"/>
      <c r="B152" s="10"/>
    </row>
    <row r="153" customFormat="false" ht="15.75" hidden="false" customHeight="true" outlineLevel="0" collapsed="false">
      <c r="A153" s="10"/>
      <c r="B153" s="10"/>
    </row>
    <row r="154" customFormat="false" ht="15.75" hidden="false" customHeight="true" outlineLevel="0" collapsed="false">
      <c r="A154" s="10"/>
      <c r="B154" s="10"/>
    </row>
    <row r="155" customFormat="false" ht="15.75" hidden="false" customHeight="true" outlineLevel="0" collapsed="false">
      <c r="A155" s="10"/>
      <c r="B155" s="10"/>
    </row>
    <row r="156" customFormat="false" ht="15.75" hidden="false" customHeight="true" outlineLevel="0" collapsed="false">
      <c r="A156" s="10"/>
      <c r="B156" s="10"/>
    </row>
    <row r="157" customFormat="false" ht="15.75" hidden="false" customHeight="true" outlineLevel="0" collapsed="false">
      <c r="A157" s="10"/>
      <c r="B157" s="10"/>
    </row>
    <row r="158" customFormat="false" ht="15.75" hidden="false" customHeight="true" outlineLevel="0" collapsed="false">
      <c r="A158" s="10"/>
      <c r="B158" s="10"/>
    </row>
    <row r="159" customFormat="false" ht="15.75" hidden="false" customHeight="true" outlineLevel="0" collapsed="false">
      <c r="A159" s="10"/>
      <c r="B159" s="10"/>
    </row>
    <row r="160" customFormat="false" ht="15.75" hidden="false" customHeight="true" outlineLevel="0" collapsed="false">
      <c r="A160" s="10"/>
      <c r="B160" s="10"/>
    </row>
    <row r="161" customFormat="false" ht="15.75" hidden="false" customHeight="true" outlineLevel="0" collapsed="false">
      <c r="A161" s="10"/>
      <c r="B161" s="10"/>
    </row>
    <row r="162" customFormat="false" ht="15.75" hidden="false" customHeight="true" outlineLevel="0" collapsed="false">
      <c r="A162" s="10"/>
      <c r="B162" s="10"/>
    </row>
    <row r="163" customFormat="false" ht="15.75" hidden="false" customHeight="true" outlineLevel="0" collapsed="false">
      <c r="A163" s="10"/>
      <c r="B163" s="10"/>
    </row>
    <row r="164" customFormat="false" ht="15.75" hidden="false" customHeight="true" outlineLevel="0" collapsed="false">
      <c r="A164" s="10"/>
      <c r="B164" s="10"/>
    </row>
    <row r="165" customFormat="false" ht="15.75" hidden="false" customHeight="true" outlineLevel="0" collapsed="false">
      <c r="A165" s="10"/>
      <c r="B165" s="10"/>
    </row>
    <row r="166" customFormat="false" ht="15.75" hidden="false" customHeight="true" outlineLevel="0" collapsed="false">
      <c r="A166" s="10"/>
      <c r="B166" s="10"/>
    </row>
    <row r="167" customFormat="false" ht="15.75" hidden="false" customHeight="true" outlineLevel="0" collapsed="false">
      <c r="A167" s="10"/>
      <c r="B167" s="10"/>
    </row>
    <row r="168" customFormat="false" ht="15.75" hidden="false" customHeight="true" outlineLevel="0" collapsed="false">
      <c r="A168" s="10"/>
      <c r="B168" s="10"/>
    </row>
    <row r="169" customFormat="false" ht="15.75" hidden="false" customHeight="true" outlineLevel="0" collapsed="false">
      <c r="A169" s="10"/>
      <c r="B169" s="10"/>
    </row>
    <row r="170" customFormat="false" ht="15.75" hidden="false" customHeight="true" outlineLevel="0" collapsed="false">
      <c r="A170" s="10"/>
      <c r="B170" s="10"/>
    </row>
    <row r="171" customFormat="false" ht="15.75" hidden="false" customHeight="true" outlineLevel="0" collapsed="false">
      <c r="A171" s="10"/>
      <c r="B171" s="10"/>
    </row>
    <row r="172" customFormat="false" ht="15.75" hidden="false" customHeight="true" outlineLevel="0" collapsed="false">
      <c r="A172" s="10"/>
      <c r="B172" s="10"/>
    </row>
    <row r="173" customFormat="false" ht="15.75" hidden="false" customHeight="true" outlineLevel="0" collapsed="false">
      <c r="A173" s="10"/>
      <c r="B173" s="10"/>
    </row>
    <row r="174" customFormat="false" ht="15.75" hidden="false" customHeight="true" outlineLevel="0" collapsed="false">
      <c r="A174" s="10"/>
      <c r="B174" s="10"/>
    </row>
    <row r="175" customFormat="false" ht="15.75" hidden="false" customHeight="true" outlineLevel="0" collapsed="false">
      <c r="A175" s="10"/>
      <c r="B175" s="10"/>
    </row>
    <row r="176" customFormat="false" ht="15.75" hidden="false" customHeight="true" outlineLevel="0" collapsed="false">
      <c r="A176" s="10"/>
      <c r="B176" s="10"/>
    </row>
    <row r="177" customFormat="false" ht="15.75" hidden="false" customHeight="true" outlineLevel="0" collapsed="false">
      <c r="A177" s="10"/>
      <c r="B177" s="10"/>
    </row>
    <row r="178" customFormat="false" ht="15.75" hidden="false" customHeight="true" outlineLevel="0" collapsed="false">
      <c r="A178" s="10"/>
      <c r="B178" s="10"/>
    </row>
    <row r="179" customFormat="false" ht="15.75" hidden="false" customHeight="true" outlineLevel="0" collapsed="false">
      <c r="A179" s="10"/>
      <c r="B179" s="10"/>
    </row>
    <row r="180" customFormat="false" ht="15.75" hidden="false" customHeight="true" outlineLevel="0" collapsed="false">
      <c r="A180" s="10"/>
      <c r="B180" s="10"/>
    </row>
    <row r="181" customFormat="false" ht="15.75" hidden="false" customHeight="true" outlineLevel="0" collapsed="false">
      <c r="A181" s="10"/>
      <c r="B181" s="10"/>
    </row>
    <row r="182" customFormat="false" ht="15.75" hidden="false" customHeight="true" outlineLevel="0" collapsed="false">
      <c r="A182" s="10"/>
      <c r="B182" s="10"/>
    </row>
    <row r="183" customFormat="false" ht="15.75" hidden="false" customHeight="true" outlineLevel="0" collapsed="false">
      <c r="A183" s="10"/>
      <c r="B183" s="10"/>
    </row>
    <row r="184" customFormat="false" ht="15.75" hidden="false" customHeight="true" outlineLevel="0" collapsed="false">
      <c r="A184" s="10"/>
      <c r="B184" s="10"/>
    </row>
    <row r="185" customFormat="false" ht="15.75" hidden="false" customHeight="true" outlineLevel="0" collapsed="false">
      <c r="A185" s="10"/>
      <c r="B185" s="10"/>
    </row>
    <row r="186" customFormat="false" ht="15.75" hidden="false" customHeight="true" outlineLevel="0" collapsed="false">
      <c r="A186" s="10"/>
      <c r="B186" s="10"/>
    </row>
    <row r="187" customFormat="false" ht="15.75" hidden="false" customHeight="true" outlineLevel="0" collapsed="false">
      <c r="A187" s="10"/>
      <c r="B187" s="10"/>
    </row>
    <row r="188" customFormat="false" ht="15.75" hidden="false" customHeight="true" outlineLevel="0" collapsed="false">
      <c r="A188" s="10"/>
      <c r="B188" s="10"/>
    </row>
    <row r="189" customFormat="false" ht="15.75" hidden="false" customHeight="true" outlineLevel="0" collapsed="false">
      <c r="A189" s="10"/>
      <c r="B189" s="10"/>
    </row>
    <row r="190" customFormat="false" ht="15.75" hidden="false" customHeight="true" outlineLevel="0" collapsed="false">
      <c r="A190" s="10"/>
      <c r="B190" s="10"/>
    </row>
    <row r="191" customFormat="false" ht="15.75" hidden="false" customHeight="true" outlineLevel="0" collapsed="false">
      <c r="A191" s="10"/>
      <c r="B191" s="10"/>
    </row>
    <row r="192" customFormat="false" ht="15.75" hidden="false" customHeight="true" outlineLevel="0" collapsed="false">
      <c r="A192" s="10"/>
      <c r="B192" s="10"/>
    </row>
    <row r="193" customFormat="false" ht="15.75" hidden="false" customHeight="true" outlineLevel="0" collapsed="false">
      <c r="A193" s="10"/>
      <c r="B193" s="10"/>
    </row>
    <row r="194" customFormat="false" ht="15.75" hidden="false" customHeight="true" outlineLevel="0" collapsed="false">
      <c r="A194" s="10"/>
      <c r="B194" s="10"/>
    </row>
    <row r="195" customFormat="false" ht="15.75" hidden="false" customHeight="true" outlineLevel="0" collapsed="false">
      <c r="A195" s="10"/>
      <c r="B195" s="10"/>
    </row>
    <row r="196" customFormat="false" ht="15.75" hidden="false" customHeight="true" outlineLevel="0" collapsed="false">
      <c r="A196" s="10"/>
      <c r="B196" s="10"/>
    </row>
    <row r="197" customFormat="false" ht="15.75" hidden="false" customHeight="true" outlineLevel="0" collapsed="false">
      <c r="A197" s="10"/>
      <c r="B197" s="10"/>
    </row>
    <row r="198" customFormat="false" ht="15.75" hidden="false" customHeight="true" outlineLevel="0" collapsed="false">
      <c r="A198" s="10"/>
      <c r="B198" s="10"/>
    </row>
    <row r="199" customFormat="false" ht="15.75" hidden="false" customHeight="true" outlineLevel="0" collapsed="false">
      <c r="A199" s="10"/>
      <c r="B199" s="10"/>
    </row>
    <row r="200" customFormat="false" ht="15.75" hidden="false" customHeight="true" outlineLevel="0" collapsed="false">
      <c r="A200" s="10"/>
      <c r="B200" s="10"/>
    </row>
    <row r="201" customFormat="false" ht="15.75" hidden="false" customHeight="true" outlineLevel="0" collapsed="false">
      <c r="A201" s="10"/>
      <c r="B201" s="10"/>
    </row>
    <row r="202" customFormat="false" ht="15.75" hidden="false" customHeight="true" outlineLevel="0" collapsed="false">
      <c r="A202" s="10"/>
      <c r="B202" s="10"/>
    </row>
    <row r="203" customFormat="false" ht="15.75" hidden="false" customHeight="true" outlineLevel="0" collapsed="false">
      <c r="A203" s="10"/>
      <c r="B203" s="10"/>
    </row>
    <row r="204" customFormat="false" ht="15.75" hidden="false" customHeight="true" outlineLevel="0" collapsed="false">
      <c r="A204" s="10"/>
      <c r="B204" s="10"/>
    </row>
    <row r="205" customFormat="false" ht="15.75" hidden="false" customHeight="true" outlineLevel="0" collapsed="false">
      <c r="A205" s="10"/>
      <c r="B205" s="10"/>
    </row>
    <row r="206" customFormat="false" ht="15.75" hidden="false" customHeight="true" outlineLevel="0" collapsed="false">
      <c r="A206" s="10"/>
      <c r="B206" s="10"/>
    </row>
    <row r="207" customFormat="false" ht="15.75" hidden="false" customHeight="true" outlineLevel="0" collapsed="false">
      <c r="A207" s="10"/>
      <c r="B207" s="10"/>
    </row>
    <row r="208" customFormat="false" ht="15.75" hidden="false" customHeight="true" outlineLevel="0" collapsed="false">
      <c r="A208" s="10"/>
      <c r="B208" s="10"/>
    </row>
    <row r="209" customFormat="false" ht="15.75" hidden="false" customHeight="true" outlineLevel="0" collapsed="false">
      <c r="A209" s="10"/>
      <c r="B209" s="10"/>
    </row>
    <row r="210" customFormat="false" ht="15.75" hidden="false" customHeight="true" outlineLevel="0" collapsed="false">
      <c r="A210" s="10"/>
      <c r="B210" s="10"/>
    </row>
    <row r="211" customFormat="false" ht="15.75" hidden="false" customHeight="true" outlineLevel="0" collapsed="false">
      <c r="A211" s="10"/>
      <c r="B211" s="10"/>
    </row>
    <row r="212" customFormat="false" ht="15.75" hidden="false" customHeight="true" outlineLevel="0" collapsed="false">
      <c r="A212" s="10"/>
      <c r="B212" s="10"/>
    </row>
    <row r="213" customFormat="false" ht="15.75" hidden="false" customHeight="true" outlineLevel="0" collapsed="false">
      <c r="A213" s="10"/>
      <c r="B213" s="10"/>
    </row>
    <row r="214" customFormat="false" ht="15.75" hidden="false" customHeight="true" outlineLevel="0" collapsed="false">
      <c r="A214" s="10"/>
      <c r="B214" s="10"/>
    </row>
    <row r="215" customFormat="false" ht="15.75" hidden="false" customHeight="true" outlineLevel="0" collapsed="false">
      <c r="A215" s="10"/>
      <c r="B215" s="10"/>
    </row>
    <row r="216" customFormat="false" ht="15.75" hidden="false" customHeight="true" outlineLevel="0" collapsed="false">
      <c r="A216" s="10"/>
      <c r="B216" s="10"/>
    </row>
    <row r="217" customFormat="false" ht="15.75" hidden="false" customHeight="true" outlineLevel="0" collapsed="false">
      <c r="A217" s="10"/>
      <c r="B217" s="10"/>
    </row>
    <row r="218" customFormat="false" ht="15.75" hidden="false" customHeight="true" outlineLevel="0" collapsed="false">
      <c r="A218" s="10"/>
      <c r="B218" s="10"/>
    </row>
    <row r="219" customFormat="false" ht="15.75" hidden="false" customHeight="true" outlineLevel="0" collapsed="false">
      <c r="A219" s="10"/>
      <c r="B219" s="10"/>
    </row>
    <row r="220" customFormat="false" ht="15.75" hidden="false" customHeight="true" outlineLevel="0" collapsed="false">
      <c r="A220" s="10"/>
      <c r="B220" s="10"/>
    </row>
    <row r="221" customFormat="false" ht="15.75" hidden="false" customHeight="true" outlineLevel="0" collapsed="false">
      <c r="A221" s="10"/>
      <c r="B221" s="10"/>
    </row>
    <row r="222" customFormat="false" ht="15.75" hidden="false" customHeight="true" outlineLevel="0" collapsed="false">
      <c r="A222" s="10"/>
      <c r="B222" s="10"/>
    </row>
    <row r="223" customFormat="false" ht="15.75" hidden="false" customHeight="true" outlineLevel="0" collapsed="false">
      <c r="A223" s="10"/>
      <c r="B223" s="10"/>
    </row>
    <row r="224" customFormat="false" ht="15.75" hidden="false" customHeight="true" outlineLevel="0" collapsed="false">
      <c r="A224" s="10"/>
      <c r="B224" s="10"/>
    </row>
    <row r="225" customFormat="false" ht="15.75" hidden="false" customHeight="true" outlineLevel="0" collapsed="false">
      <c r="A225" s="10"/>
      <c r="B225" s="10"/>
    </row>
    <row r="226" customFormat="false" ht="15.75" hidden="false" customHeight="true" outlineLevel="0" collapsed="false">
      <c r="A226" s="10"/>
      <c r="B226" s="10"/>
    </row>
    <row r="227" customFormat="false" ht="15.75" hidden="false" customHeight="true" outlineLevel="0" collapsed="false">
      <c r="A227" s="10"/>
      <c r="B227" s="10"/>
    </row>
    <row r="228" customFormat="false" ht="15.75" hidden="false" customHeight="true" outlineLevel="0" collapsed="false">
      <c r="A228" s="10"/>
      <c r="B228" s="10"/>
    </row>
    <row r="229" customFormat="false" ht="15.75" hidden="false" customHeight="true" outlineLevel="0" collapsed="false">
      <c r="A229" s="10"/>
      <c r="B229" s="10"/>
    </row>
    <row r="230" customFormat="false" ht="15.75" hidden="false" customHeight="true" outlineLevel="0" collapsed="false">
      <c r="A230" s="10"/>
      <c r="B230" s="10"/>
    </row>
    <row r="231" customFormat="false" ht="15.75" hidden="false" customHeight="true" outlineLevel="0" collapsed="false">
      <c r="A231" s="10"/>
      <c r="B231" s="10"/>
    </row>
    <row r="232" customFormat="false" ht="15.75" hidden="false" customHeight="true" outlineLevel="0" collapsed="false">
      <c r="A232" s="10"/>
      <c r="B232" s="10"/>
    </row>
    <row r="233" customFormat="false" ht="15.75" hidden="false" customHeight="true" outlineLevel="0" collapsed="false">
      <c r="A233" s="10"/>
      <c r="B233" s="10"/>
    </row>
    <row r="234" customFormat="false" ht="15.75" hidden="false" customHeight="true" outlineLevel="0" collapsed="false">
      <c r="A234" s="10"/>
      <c r="B234" s="10"/>
    </row>
    <row r="235" customFormat="false" ht="15.75" hidden="false" customHeight="true" outlineLevel="0" collapsed="false">
      <c r="A235" s="10"/>
      <c r="B235" s="10"/>
    </row>
    <row r="236" customFormat="false" ht="15.75" hidden="false" customHeight="true" outlineLevel="0" collapsed="false">
      <c r="A236" s="10"/>
      <c r="B236" s="10"/>
    </row>
    <row r="237" customFormat="false" ht="15.75" hidden="false" customHeight="true" outlineLevel="0" collapsed="false">
      <c r="A237" s="10"/>
      <c r="B237" s="10"/>
    </row>
    <row r="238" customFormat="false" ht="15.75" hidden="false" customHeight="true" outlineLevel="0" collapsed="false">
      <c r="A238" s="10"/>
      <c r="B238" s="10"/>
    </row>
    <row r="239" customFormat="false" ht="15.75" hidden="false" customHeight="true" outlineLevel="0" collapsed="false">
      <c r="A239" s="10"/>
      <c r="B239" s="10"/>
    </row>
    <row r="240" customFormat="false" ht="15.75" hidden="false" customHeight="true" outlineLevel="0" collapsed="false">
      <c r="A240" s="10"/>
      <c r="B240" s="10"/>
    </row>
    <row r="241" customFormat="false" ht="15.75" hidden="false" customHeight="true" outlineLevel="0" collapsed="false">
      <c r="A241" s="10"/>
      <c r="B241" s="10"/>
    </row>
    <row r="242" customFormat="false" ht="15.75" hidden="false" customHeight="true" outlineLevel="0" collapsed="false">
      <c r="A242" s="10"/>
      <c r="B242" s="10"/>
    </row>
    <row r="243" customFormat="false" ht="15.75" hidden="false" customHeight="true" outlineLevel="0" collapsed="false">
      <c r="A243" s="10"/>
      <c r="B243" s="10"/>
    </row>
    <row r="244" customFormat="false" ht="15.75" hidden="false" customHeight="true" outlineLevel="0" collapsed="false">
      <c r="A244" s="10"/>
      <c r="B244" s="10"/>
    </row>
    <row r="245" customFormat="false" ht="15.75" hidden="false" customHeight="true" outlineLevel="0" collapsed="false">
      <c r="A245" s="10"/>
      <c r="B245" s="10"/>
    </row>
    <row r="246" customFormat="false" ht="15.75" hidden="false" customHeight="true" outlineLevel="0" collapsed="false">
      <c r="A246" s="10"/>
      <c r="B246" s="10"/>
    </row>
    <row r="247" customFormat="false" ht="15.75" hidden="false" customHeight="true" outlineLevel="0" collapsed="false">
      <c r="A247" s="10"/>
      <c r="B247" s="10"/>
    </row>
    <row r="248" customFormat="false" ht="15.75" hidden="false" customHeight="true" outlineLevel="0" collapsed="false">
      <c r="A248" s="10"/>
      <c r="B248" s="10"/>
    </row>
    <row r="249" customFormat="false" ht="15.75" hidden="false" customHeight="true" outlineLevel="0" collapsed="false">
      <c r="A249" s="10"/>
      <c r="B249" s="10"/>
    </row>
    <row r="250" customFormat="false" ht="15.75" hidden="false" customHeight="true" outlineLevel="0" collapsed="false">
      <c r="A250" s="10"/>
      <c r="B250" s="10"/>
    </row>
    <row r="251" customFormat="false" ht="15.75" hidden="false" customHeight="true" outlineLevel="0" collapsed="false">
      <c r="A251" s="10"/>
      <c r="B251" s="10"/>
    </row>
    <row r="252" customFormat="false" ht="15.75" hidden="false" customHeight="true" outlineLevel="0" collapsed="false">
      <c r="A252" s="10"/>
      <c r="B252" s="10"/>
    </row>
    <row r="253" customFormat="false" ht="15.75" hidden="false" customHeight="true" outlineLevel="0" collapsed="false">
      <c r="A253" s="10"/>
      <c r="B253" s="10"/>
    </row>
    <row r="254" customFormat="false" ht="15.75" hidden="false" customHeight="true" outlineLevel="0" collapsed="false">
      <c r="A254" s="10"/>
      <c r="B254" s="10"/>
    </row>
    <row r="255" customFormat="false" ht="15.75" hidden="false" customHeight="true" outlineLevel="0" collapsed="false">
      <c r="A255" s="10"/>
      <c r="B255" s="10"/>
    </row>
    <row r="256" customFormat="false" ht="15.75" hidden="false" customHeight="true" outlineLevel="0" collapsed="false">
      <c r="A256" s="10"/>
      <c r="B256" s="10"/>
    </row>
    <row r="257" customFormat="false" ht="15.75" hidden="false" customHeight="true" outlineLevel="0" collapsed="false">
      <c r="A257" s="10"/>
      <c r="B257" s="10"/>
    </row>
    <row r="258" customFormat="false" ht="15.75" hidden="false" customHeight="true" outlineLevel="0" collapsed="false">
      <c r="A258" s="10"/>
      <c r="B258" s="10"/>
    </row>
    <row r="259" customFormat="false" ht="15.75" hidden="false" customHeight="true" outlineLevel="0" collapsed="false">
      <c r="A259" s="10"/>
      <c r="B259" s="10"/>
    </row>
    <row r="260" customFormat="false" ht="15.75" hidden="false" customHeight="true" outlineLevel="0" collapsed="false">
      <c r="A260" s="10"/>
      <c r="B260" s="10"/>
    </row>
    <row r="261" customFormat="false" ht="15.75" hidden="false" customHeight="true" outlineLevel="0" collapsed="false">
      <c r="A261" s="10"/>
      <c r="B261" s="10"/>
    </row>
    <row r="262" customFormat="false" ht="15.75" hidden="false" customHeight="true" outlineLevel="0" collapsed="false">
      <c r="A262" s="10"/>
      <c r="B262" s="10"/>
    </row>
    <row r="263" customFormat="false" ht="15.75" hidden="false" customHeight="true" outlineLevel="0" collapsed="false">
      <c r="A263" s="10"/>
      <c r="B263" s="10"/>
    </row>
    <row r="264" customFormat="false" ht="15.75" hidden="false" customHeight="true" outlineLevel="0" collapsed="false">
      <c r="A264" s="10"/>
      <c r="B264" s="10"/>
    </row>
    <row r="265" customFormat="false" ht="15.75" hidden="false" customHeight="true" outlineLevel="0" collapsed="false">
      <c r="A265" s="10"/>
      <c r="B265" s="10"/>
    </row>
    <row r="266" customFormat="false" ht="15.75" hidden="false" customHeight="true" outlineLevel="0" collapsed="false">
      <c r="A266" s="10"/>
      <c r="B266" s="10"/>
    </row>
    <row r="267" customFormat="false" ht="15.75" hidden="false" customHeight="true" outlineLevel="0" collapsed="false">
      <c r="A267" s="10"/>
      <c r="B267" s="10"/>
    </row>
    <row r="268" customFormat="false" ht="15.75" hidden="false" customHeight="true" outlineLevel="0" collapsed="false">
      <c r="A268" s="10"/>
      <c r="B268" s="10"/>
    </row>
    <row r="269" customFormat="false" ht="15.75" hidden="false" customHeight="true" outlineLevel="0" collapsed="false">
      <c r="A269" s="10"/>
      <c r="B269" s="10"/>
    </row>
    <row r="270" customFormat="false" ht="15.75" hidden="false" customHeight="true" outlineLevel="0" collapsed="false">
      <c r="A270" s="10"/>
      <c r="B270" s="10"/>
    </row>
    <row r="271" customFormat="false" ht="15.75" hidden="false" customHeight="true" outlineLevel="0" collapsed="false">
      <c r="A271" s="10"/>
      <c r="B271" s="10"/>
    </row>
    <row r="272" customFormat="false" ht="15.75" hidden="false" customHeight="true" outlineLevel="0" collapsed="false">
      <c r="A272" s="10"/>
      <c r="B272" s="10"/>
    </row>
    <row r="273" customFormat="false" ht="15.75" hidden="false" customHeight="true" outlineLevel="0" collapsed="false">
      <c r="A273" s="10"/>
      <c r="B273" s="10"/>
    </row>
    <row r="274" customFormat="false" ht="15.75" hidden="false" customHeight="true" outlineLevel="0" collapsed="false">
      <c r="A274" s="10"/>
      <c r="B274" s="10"/>
    </row>
    <row r="275" customFormat="false" ht="15.75" hidden="false" customHeight="true" outlineLevel="0" collapsed="false">
      <c r="A275" s="10"/>
      <c r="B275" s="10"/>
    </row>
    <row r="276" customFormat="false" ht="15.75" hidden="false" customHeight="true" outlineLevel="0" collapsed="false">
      <c r="A276" s="10"/>
      <c r="B276" s="10"/>
    </row>
    <row r="277" customFormat="false" ht="15.75" hidden="false" customHeight="true" outlineLevel="0" collapsed="false">
      <c r="A277" s="10"/>
      <c r="B277" s="10"/>
    </row>
    <row r="278" customFormat="false" ht="15.75" hidden="false" customHeight="true" outlineLevel="0" collapsed="false">
      <c r="A278" s="10"/>
      <c r="B278" s="10"/>
    </row>
    <row r="279" customFormat="false" ht="15.75" hidden="false" customHeight="true" outlineLevel="0" collapsed="false">
      <c r="A279" s="10"/>
      <c r="B279" s="10"/>
    </row>
    <row r="280" customFormat="false" ht="15.75" hidden="false" customHeight="true" outlineLevel="0" collapsed="false">
      <c r="A280" s="10"/>
      <c r="B280" s="10"/>
    </row>
    <row r="281" customFormat="false" ht="15.75" hidden="false" customHeight="true" outlineLevel="0" collapsed="false">
      <c r="A281" s="10"/>
      <c r="B281" s="10"/>
    </row>
    <row r="282" customFormat="false" ht="15.75" hidden="false" customHeight="true" outlineLevel="0" collapsed="false">
      <c r="A282" s="10"/>
      <c r="B282" s="10"/>
    </row>
    <row r="283" customFormat="false" ht="15.75" hidden="false" customHeight="true" outlineLevel="0" collapsed="false">
      <c r="A283" s="10"/>
      <c r="B283" s="10"/>
    </row>
    <row r="284" customFormat="false" ht="15.75" hidden="false" customHeight="true" outlineLevel="0" collapsed="false">
      <c r="A284" s="10"/>
      <c r="B284" s="10"/>
    </row>
    <row r="285" customFormat="false" ht="15.75" hidden="false" customHeight="true" outlineLevel="0" collapsed="false">
      <c r="A285" s="10"/>
      <c r="B285" s="10"/>
    </row>
    <row r="286" customFormat="false" ht="15.75" hidden="false" customHeight="true" outlineLevel="0" collapsed="false">
      <c r="A286" s="10"/>
      <c r="B286" s="10"/>
    </row>
    <row r="287" customFormat="false" ht="15.75" hidden="false" customHeight="true" outlineLevel="0" collapsed="false">
      <c r="A287" s="10"/>
      <c r="B287" s="10"/>
    </row>
    <row r="288" customFormat="false" ht="15.75" hidden="false" customHeight="true" outlineLevel="0" collapsed="false">
      <c r="A288" s="10"/>
      <c r="B288" s="10"/>
    </row>
    <row r="289" customFormat="false" ht="15.75" hidden="false" customHeight="true" outlineLevel="0" collapsed="false">
      <c r="A289" s="10"/>
      <c r="B289" s="10"/>
    </row>
    <row r="290" customFormat="false" ht="15.75" hidden="false" customHeight="true" outlineLevel="0" collapsed="false">
      <c r="A290" s="10"/>
      <c r="B290" s="10"/>
    </row>
    <row r="291" customFormat="false" ht="15.75" hidden="false" customHeight="true" outlineLevel="0" collapsed="false">
      <c r="A291" s="10"/>
      <c r="B291" s="10"/>
    </row>
    <row r="292" customFormat="false" ht="15.75" hidden="false" customHeight="true" outlineLevel="0" collapsed="false">
      <c r="A292" s="10"/>
      <c r="B292" s="10"/>
    </row>
    <row r="293" customFormat="false" ht="15.75" hidden="false" customHeight="true" outlineLevel="0" collapsed="false">
      <c r="A293" s="10"/>
      <c r="B293" s="10"/>
    </row>
    <row r="294" customFormat="false" ht="15.75" hidden="false" customHeight="true" outlineLevel="0" collapsed="false">
      <c r="A294" s="10"/>
      <c r="B294" s="10"/>
    </row>
    <row r="295" customFormat="false" ht="15.75" hidden="false" customHeight="true" outlineLevel="0" collapsed="false">
      <c r="A295" s="10"/>
      <c r="B295" s="10"/>
    </row>
    <row r="296" customFormat="false" ht="15.75" hidden="false" customHeight="true" outlineLevel="0" collapsed="false">
      <c r="A296" s="10"/>
      <c r="B296" s="10"/>
    </row>
    <row r="297" customFormat="false" ht="15.75" hidden="false" customHeight="true" outlineLevel="0" collapsed="false">
      <c r="A297" s="10"/>
      <c r="B297" s="10"/>
    </row>
    <row r="298" customFormat="false" ht="15.75" hidden="false" customHeight="true" outlineLevel="0" collapsed="false">
      <c r="A298" s="10"/>
      <c r="B298" s="10"/>
    </row>
    <row r="299" customFormat="false" ht="15.75" hidden="false" customHeight="true" outlineLevel="0" collapsed="false">
      <c r="A299" s="10"/>
      <c r="B299" s="10"/>
    </row>
    <row r="300" customFormat="false" ht="15.75" hidden="false" customHeight="true" outlineLevel="0" collapsed="false">
      <c r="A300" s="10"/>
      <c r="B300" s="10"/>
    </row>
    <row r="301" customFormat="false" ht="15.75" hidden="false" customHeight="true" outlineLevel="0" collapsed="false">
      <c r="A301" s="10"/>
      <c r="B301" s="10"/>
    </row>
    <row r="302" customFormat="false" ht="15.75" hidden="false" customHeight="true" outlineLevel="0" collapsed="false">
      <c r="A302" s="10"/>
      <c r="B302" s="10"/>
    </row>
    <row r="303" customFormat="false" ht="15.75" hidden="false" customHeight="true" outlineLevel="0" collapsed="false">
      <c r="A303" s="10"/>
      <c r="B303" s="10"/>
    </row>
    <row r="304" customFormat="false" ht="15.75" hidden="false" customHeight="true" outlineLevel="0" collapsed="false">
      <c r="A304" s="10"/>
      <c r="B304" s="10"/>
    </row>
    <row r="305" customFormat="false" ht="15.75" hidden="false" customHeight="true" outlineLevel="0" collapsed="false">
      <c r="A305" s="10"/>
      <c r="B305" s="10"/>
    </row>
    <row r="306" customFormat="false" ht="15.75" hidden="false" customHeight="true" outlineLevel="0" collapsed="false">
      <c r="A306" s="10"/>
      <c r="B306" s="10"/>
    </row>
    <row r="307" customFormat="false" ht="15.75" hidden="false" customHeight="true" outlineLevel="0" collapsed="false">
      <c r="A307" s="10"/>
      <c r="B307" s="10"/>
    </row>
    <row r="308" customFormat="false" ht="15.75" hidden="false" customHeight="true" outlineLevel="0" collapsed="false">
      <c r="A308" s="10"/>
      <c r="B308" s="10"/>
    </row>
    <row r="309" customFormat="false" ht="15.75" hidden="false" customHeight="true" outlineLevel="0" collapsed="false">
      <c r="A309" s="10"/>
      <c r="B309" s="10"/>
    </row>
    <row r="310" customFormat="false" ht="15.75" hidden="false" customHeight="true" outlineLevel="0" collapsed="false">
      <c r="A310" s="10"/>
      <c r="B310" s="10"/>
    </row>
    <row r="311" customFormat="false" ht="15.75" hidden="false" customHeight="true" outlineLevel="0" collapsed="false">
      <c r="A311" s="10"/>
      <c r="B311" s="10"/>
    </row>
    <row r="312" customFormat="false" ht="15.75" hidden="false" customHeight="true" outlineLevel="0" collapsed="false">
      <c r="A312" s="10"/>
      <c r="B312" s="10"/>
    </row>
    <row r="313" customFormat="false" ht="15.75" hidden="false" customHeight="true" outlineLevel="0" collapsed="false">
      <c r="A313" s="10"/>
      <c r="B313" s="10"/>
    </row>
    <row r="314" customFormat="false" ht="15.75" hidden="false" customHeight="true" outlineLevel="0" collapsed="false">
      <c r="A314" s="10"/>
      <c r="B314" s="10"/>
    </row>
    <row r="315" customFormat="false" ht="15.75" hidden="false" customHeight="true" outlineLevel="0" collapsed="false">
      <c r="A315" s="10"/>
      <c r="B315" s="10"/>
    </row>
    <row r="316" customFormat="false" ht="15.75" hidden="false" customHeight="true" outlineLevel="0" collapsed="false">
      <c r="A316" s="10"/>
      <c r="B316" s="10"/>
    </row>
    <row r="317" customFormat="false" ht="15.75" hidden="false" customHeight="true" outlineLevel="0" collapsed="false">
      <c r="A317" s="10"/>
      <c r="B317" s="10"/>
    </row>
    <row r="318" customFormat="false" ht="15.75" hidden="false" customHeight="true" outlineLevel="0" collapsed="false">
      <c r="A318" s="10"/>
      <c r="B318" s="10"/>
    </row>
    <row r="319" customFormat="false" ht="15.75" hidden="false" customHeight="true" outlineLevel="0" collapsed="false">
      <c r="A319" s="10"/>
      <c r="B319" s="10"/>
    </row>
    <row r="320" customFormat="false" ht="15.75" hidden="false" customHeight="true" outlineLevel="0" collapsed="false">
      <c r="A320" s="10"/>
      <c r="B320" s="10"/>
    </row>
    <row r="321" customFormat="false" ht="15.75" hidden="false" customHeight="true" outlineLevel="0" collapsed="false">
      <c r="A321" s="10"/>
      <c r="B321" s="10"/>
    </row>
    <row r="322" customFormat="false" ht="15.75" hidden="false" customHeight="true" outlineLevel="0" collapsed="false">
      <c r="A322" s="10"/>
      <c r="B322" s="10"/>
    </row>
    <row r="323" customFormat="false" ht="15.75" hidden="false" customHeight="true" outlineLevel="0" collapsed="false">
      <c r="A323" s="10"/>
      <c r="B323" s="10"/>
    </row>
    <row r="324" customFormat="false" ht="15.75" hidden="false" customHeight="true" outlineLevel="0" collapsed="false">
      <c r="A324" s="10"/>
      <c r="B324" s="10"/>
    </row>
    <row r="325" customFormat="false" ht="15.75" hidden="false" customHeight="true" outlineLevel="0" collapsed="false">
      <c r="A325" s="10"/>
      <c r="B325" s="10"/>
    </row>
    <row r="326" customFormat="false" ht="15.75" hidden="false" customHeight="true" outlineLevel="0" collapsed="false">
      <c r="A326" s="10"/>
      <c r="B326" s="10"/>
    </row>
    <row r="327" customFormat="false" ht="15.75" hidden="false" customHeight="true" outlineLevel="0" collapsed="false">
      <c r="A327" s="10"/>
      <c r="B327" s="10"/>
    </row>
    <row r="328" customFormat="false" ht="15.75" hidden="false" customHeight="true" outlineLevel="0" collapsed="false">
      <c r="A328" s="10"/>
      <c r="B328" s="10"/>
    </row>
    <row r="329" customFormat="false" ht="15.75" hidden="false" customHeight="true" outlineLevel="0" collapsed="false">
      <c r="A329" s="10"/>
      <c r="B329" s="10"/>
    </row>
    <row r="330" customFormat="false" ht="15.75" hidden="false" customHeight="true" outlineLevel="0" collapsed="false">
      <c r="A330" s="10"/>
      <c r="B330" s="10"/>
    </row>
    <row r="331" customFormat="false" ht="15.75" hidden="false" customHeight="true" outlineLevel="0" collapsed="false">
      <c r="A331" s="10"/>
      <c r="B331" s="10"/>
    </row>
    <row r="332" customFormat="false" ht="15.75" hidden="false" customHeight="true" outlineLevel="0" collapsed="false">
      <c r="A332" s="10"/>
      <c r="B332" s="10"/>
    </row>
    <row r="333" customFormat="false" ht="15.75" hidden="false" customHeight="true" outlineLevel="0" collapsed="false">
      <c r="A333" s="10"/>
      <c r="B333" s="10"/>
    </row>
    <row r="334" customFormat="false" ht="15.75" hidden="false" customHeight="true" outlineLevel="0" collapsed="false">
      <c r="A334" s="10"/>
      <c r="B334" s="10"/>
    </row>
    <row r="335" customFormat="false" ht="15.75" hidden="false" customHeight="true" outlineLevel="0" collapsed="false">
      <c r="A335" s="10"/>
      <c r="B335" s="10"/>
    </row>
    <row r="336" customFormat="false" ht="15.75" hidden="false" customHeight="true" outlineLevel="0" collapsed="false">
      <c r="A336" s="10"/>
      <c r="B336" s="10"/>
    </row>
    <row r="337" customFormat="false" ht="15.75" hidden="false" customHeight="true" outlineLevel="0" collapsed="false">
      <c r="A337" s="10"/>
      <c r="B337" s="10"/>
    </row>
    <row r="338" customFormat="false" ht="15.75" hidden="false" customHeight="true" outlineLevel="0" collapsed="false">
      <c r="A338" s="10"/>
      <c r="B338" s="10"/>
    </row>
    <row r="339" customFormat="false" ht="15.75" hidden="false" customHeight="true" outlineLevel="0" collapsed="false">
      <c r="A339" s="10"/>
      <c r="B339" s="10"/>
    </row>
    <row r="340" customFormat="false" ht="15.75" hidden="false" customHeight="true" outlineLevel="0" collapsed="false">
      <c r="A340" s="10"/>
      <c r="B340" s="10"/>
    </row>
    <row r="341" customFormat="false" ht="15.75" hidden="false" customHeight="true" outlineLevel="0" collapsed="false">
      <c r="A341" s="10"/>
      <c r="B341" s="10"/>
    </row>
    <row r="342" customFormat="false" ht="15.75" hidden="false" customHeight="true" outlineLevel="0" collapsed="false">
      <c r="A342" s="10"/>
      <c r="B342" s="10"/>
    </row>
    <row r="343" customFormat="false" ht="15.75" hidden="false" customHeight="true" outlineLevel="0" collapsed="false">
      <c r="A343" s="10"/>
      <c r="B343" s="10"/>
    </row>
    <row r="344" customFormat="false" ht="15.75" hidden="false" customHeight="true" outlineLevel="0" collapsed="false">
      <c r="A344" s="10"/>
      <c r="B344" s="10"/>
    </row>
    <row r="345" customFormat="false" ht="15.75" hidden="false" customHeight="true" outlineLevel="0" collapsed="false">
      <c r="A345" s="10"/>
      <c r="B345" s="10"/>
    </row>
    <row r="346" customFormat="false" ht="15.75" hidden="false" customHeight="true" outlineLevel="0" collapsed="false">
      <c r="A346" s="10"/>
      <c r="B346" s="10"/>
    </row>
    <row r="347" customFormat="false" ht="15.75" hidden="false" customHeight="true" outlineLevel="0" collapsed="false">
      <c r="A347" s="10"/>
      <c r="B347" s="10"/>
    </row>
    <row r="348" customFormat="false" ht="15.75" hidden="false" customHeight="true" outlineLevel="0" collapsed="false">
      <c r="A348" s="10"/>
      <c r="B348" s="10"/>
    </row>
    <row r="349" customFormat="false" ht="15.75" hidden="false" customHeight="true" outlineLevel="0" collapsed="false">
      <c r="A349" s="10"/>
      <c r="B349" s="10"/>
    </row>
    <row r="350" customFormat="false" ht="15.75" hidden="false" customHeight="true" outlineLevel="0" collapsed="false">
      <c r="A350" s="10"/>
      <c r="B350" s="10"/>
    </row>
    <row r="351" customFormat="false" ht="15.75" hidden="false" customHeight="true" outlineLevel="0" collapsed="false">
      <c r="A351" s="10"/>
      <c r="B351" s="10"/>
    </row>
    <row r="352" customFormat="false" ht="15.75" hidden="false" customHeight="true" outlineLevel="0" collapsed="false">
      <c r="A352" s="10"/>
      <c r="B352" s="10"/>
    </row>
    <row r="353" customFormat="false" ht="15.75" hidden="false" customHeight="true" outlineLevel="0" collapsed="false">
      <c r="A353" s="10"/>
      <c r="B353" s="10"/>
    </row>
    <row r="354" customFormat="false" ht="15.75" hidden="false" customHeight="true" outlineLevel="0" collapsed="false">
      <c r="A354" s="10"/>
      <c r="B354" s="10"/>
    </row>
    <row r="355" customFormat="false" ht="15.75" hidden="false" customHeight="true" outlineLevel="0" collapsed="false">
      <c r="A355" s="10"/>
      <c r="B355" s="10"/>
    </row>
    <row r="356" customFormat="false" ht="15.75" hidden="false" customHeight="true" outlineLevel="0" collapsed="false">
      <c r="A356" s="10"/>
      <c r="B356" s="10"/>
    </row>
    <row r="357" customFormat="false" ht="15.75" hidden="false" customHeight="true" outlineLevel="0" collapsed="false">
      <c r="A357" s="10"/>
      <c r="B357" s="10"/>
    </row>
    <row r="358" customFormat="false" ht="15.75" hidden="false" customHeight="true" outlineLevel="0" collapsed="false">
      <c r="A358" s="10"/>
      <c r="B358" s="10"/>
    </row>
    <row r="359" customFormat="false" ht="15.75" hidden="false" customHeight="true" outlineLevel="0" collapsed="false">
      <c r="A359" s="10"/>
      <c r="B359" s="10"/>
    </row>
    <row r="360" customFormat="false" ht="15.75" hidden="false" customHeight="true" outlineLevel="0" collapsed="false">
      <c r="A360" s="10"/>
      <c r="B360" s="10"/>
    </row>
    <row r="361" customFormat="false" ht="15.75" hidden="false" customHeight="true" outlineLevel="0" collapsed="false">
      <c r="A361" s="10"/>
      <c r="B361" s="10"/>
    </row>
    <row r="362" customFormat="false" ht="15.75" hidden="false" customHeight="true" outlineLevel="0" collapsed="false">
      <c r="A362" s="10"/>
      <c r="B362" s="10"/>
    </row>
    <row r="363" customFormat="false" ht="15.75" hidden="false" customHeight="true" outlineLevel="0" collapsed="false">
      <c r="A363" s="10"/>
      <c r="B363" s="10"/>
    </row>
    <row r="364" customFormat="false" ht="15.75" hidden="false" customHeight="true" outlineLevel="0" collapsed="false">
      <c r="A364" s="10"/>
      <c r="B364" s="10"/>
    </row>
    <row r="365" customFormat="false" ht="15.75" hidden="false" customHeight="true" outlineLevel="0" collapsed="false">
      <c r="A365" s="10"/>
      <c r="B365" s="10"/>
    </row>
    <row r="366" customFormat="false" ht="15.75" hidden="false" customHeight="true" outlineLevel="0" collapsed="false">
      <c r="A366" s="10"/>
      <c r="B366" s="10"/>
    </row>
    <row r="367" customFormat="false" ht="15.75" hidden="false" customHeight="true" outlineLevel="0" collapsed="false">
      <c r="A367" s="10"/>
      <c r="B367" s="10"/>
    </row>
    <row r="368" customFormat="false" ht="15.75" hidden="false" customHeight="true" outlineLevel="0" collapsed="false">
      <c r="A368" s="10"/>
      <c r="B368" s="10"/>
    </row>
    <row r="369" customFormat="false" ht="15.75" hidden="false" customHeight="true" outlineLevel="0" collapsed="false">
      <c r="A369" s="10"/>
      <c r="B369" s="10"/>
    </row>
    <row r="370" customFormat="false" ht="15.75" hidden="false" customHeight="true" outlineLevel="0" collapsed="false">
      <c r="A370" s="10"/>
      <c r="B370" s="10"/>
    </row>
    <row r="371" customFormat="false" ht="15.75" hidden="false" customHeight="true" outlineLevel="0" collapsed="false">
      <c r="A371" s="10"/>
      <c r="B371" s="10"/>
    </row>
    <row r="372" customFormat="false" ht="15.75" hidden="false" customHeight="true" outlineLevel="0" collapsed="false">
      <c r="A372" s="10"/>
      <c r="B372" s="10"/>
    </row>
    <row r="373" customFormat="false" ht="15.75" hidden="false" customHeight="true" outlineLevel="0" collapsed="false">
      <c r="A373" s="10"/>
      <c r="B373" s="10"/>
    </row>
    <row r="374" customFormat="false" ht="15.75" hidden="false" customHeight="true" outlineLevel="0" collapsed="false">
      <c r="A374" s="10"/>
      <c r="B374" s="10"/>
    </row>
    <row r="375" customFormat="false" ht="15.75" hidden="false" customHeight="true" outlineLevel="0" collapsed="false">
      <c r="A375" s="10"/>
      <c r="B375" s="10"/>
    </row>
    <row r="376" customFormat="false" ht="15.75" hidden="false" customHeight="true" outlineLevel="0" collapsed="false">
      <c r="A376" s="10"/>
      <c r="B376" s="10"/>
    </row>
    <row r="377" customFormat="false" ht="15.75" hidden="false" customHeight="true" outlineLevel="0" collapsed="false">
      <c r="A377" s="10"/>
      <c r="B377" s="10"/>
    </row>
    <row r="378" customFormat="false" ht="15.75" hidden="false" customHeight="true" outlineLevel="0" collapsed="false">
      <c r="A378" s="10"/>
      <c r="B378" s="10"/>
    </row>
    <row r="379" customFormat="false" ht="15.75" hidden="false" customHeight="true" outlineLevel="0" collapsed="false">
      <c r="A379" s="10"/>
      <c r="B379" s="10"/>
    </row>
    <row r="380" customFormat="false" ht="15.75" hidden="false" customHeight="true" outlineLevel="0" collapsed="false">
      <c r="A380" s="10"/>
      <c r="B380" s="10"/>
    </row>
    <row r="381" customFormat="false" ht="15.75" hidden="false" customHeight="true" outlineLevel="0" collapsed="false">
      <c r="A381" s="10"/>
      <c r="B381" s="10"/>
    </row>
    <row r="382" customFormat="false" ht="15.75" hidden="false" customHeight="true" outlineLevel="0" collapsed="false">
      <c r="A382" s="10"/>
      <c r="B382" s="10"/>
    </row>
    <row r="383" customFormat="false" ht="15.75" hidden="false" customHeight="true" outlineLevel="0" collapsed="false">
      <c r="A383" s="10"/>
      <c r="B383" s="10"/>
    </row>
    <row r="384" customFormat="false" ht="15.75" hidden="false" customHeight="true" outlineLevel="0" collapsed="false">
      <c r="A384" s="10"/>
      <c r="B384" s="10"/>
    </row>
    <row r="385" customFormat="false" ht="15.75" hidden="false" customHeight="true" outlineLevel="0" collapsed="false">
      <c r="A385" s="10"/>
      <c r="B385" s="10"/>
    </row>
    <row r="386" customFormat="false" ht="15.75" hidden="false" customHeight="true" outlineLevel="0" collapsed="false">
      <c r="A386" s="10"/>
      <c r="B386" s="10"/>
    </row>
    <row r="387" customFormat="false" ht="15.75" hidden="false" customHeight="true" outlineLevel="0" collapsed="false">
      <c r="A387" s="10"/>
      <c r="B387" s="10"/>
    </row>
    <row r="388" customFormat="false" ht="15.75" hidden="false" customHeight="true" outlineLevel="0" collapsed="false">
      <c r="A388" s="10"/>
      <c r="B388" s="10"/>
    </row>
    <row r="389" customFormat="false" ht="15.75" hidden="false" customHeight="true" outlineLevel="0" collapsed="false">
      <c r="A389" s="10"/>
      <c r="B389" s="10"/>
    </row>
    <row r="390" customFormat="false" ht="15.75" hidden="false" customHeight="true" outlineLevel="0" collapsed="false">
      <c r="A390" s="10"/>
      <c r="B390" s="10"/>
    </row>
    <row r="391" customFormat="false" ht="15.75" hidden="false" customHeight="true" outlineLevel="0" collapsed="false">
      <c r="A391" s="10"/>
      <c r="B391" s="10"/>
    </row>
    <row r="392" customFormat="false" ht="15.75" hidden="false" customHeight="true" outlineLevel="0" collapsed="false">
      <c r="A392" s="10"/>
      <c r="B392" s="10"/>
    </row>
    <row r="393" customFormat="false" ht="15.75" hidden="false" customHeight="true" outlineLevel="0" collapsed="false">
      <c r="A393" s="10"/>
      <c r="B393" s="10"/>
    </row>
    <row r="394" customFormat="false" ht="15.75" hidden="false" customHeight="true" outlineLevel="0" collapsed="false">
      <c r="A394" s="10"/>
      <c r="B394" s="10"/>
    </row>
    <row r="395" customFormat="false" ht="15.75" hidden="false" customHeight="true" outlineLevel="0" collapsed="false">
      <c r="A395" s="10"/>
      <c r="B395" s="10"/>
    </row>
    <row r="396" customFormat="false" ht="15.75" hidden="false" customHeight="true" outlineLevel="0" collapsed="false">
      <c r="A396" s="10"/>
      <c r="B396" s="10"/>
    </row>
    <row r="397" customFormat="false" ht="15.75" hidden="false" customHeight="true" outlineLevel="0" collapsed="false">
      <c r="A397" s="10"/>
      <c r="B397" s="10"/>
    </row>
    <row r="398" customFormat="false" ht="15.75" hidden="false" customHeight="true" outlineLevel="0" collapsed="false">
      <c r="A398" s="10"/>
      <c r="B398" s="10"/>
    </row>
    <row r="399" customFormat="false" ht="15.75" hidden="false" customHeight="true" outlineLevel="0" collapsed="false">
      <c r="A399" s="10"/>
      <c r="B399" s="10"/>
    </row>
    <row r="400" customFormat="false" ht="15.75" hidden="false" customHeight="true" outlineLevel="0" collapsed="false">
      <c r="A400" s="10"/>
      <c r="B400" s="10"/>
    </row>
    <row r="401" customFormat="false" ht="15.75" hidden="false" customHeight="true" outlineLevel="0" collapsed="false">
      <c r="A401" s="10"/>
      <c r="B401" s="10"/>
    </row>
    <row r="402" customFormat="false" ht="15.75" hidden="false" customHeight="true" outlineLevel="0" collapsed="false">
      <c r="A402" s="10"/>
      <c r="B402" s="10"/>
    </row>
    <row r="403" customFormat="false" ht="15.75" hidden="false" customHeight="true" outlineLevel="0" collapsed="false">
      <c r="A403" s="10"/>
      <c r="B403" s="10"/>
    </row>
    <row r="404" customFormat="false" ht="15.75" hidden="false" customHeight="true" outlineLevel="0" collapsed="false">
      <c r="A404" s="10"/>
      <c r="B404" s="10"/>
    </row>
    <row r="405" customFormat="false" ht="15.75" hidden="false" customHeight="true" outlineLevel="0" collapsed="false">
      <c r="A405" s="10"/>
      <c r="B405" s="10"/>
    </row>
    <row r="406" customFormat="false" ht="15.75" hidden="false" customHeight="true" outlineLevel="0" collapsed="false">
      <c r="A406" s="10"/>
      <c r="B406" s="10"/>
    </row>
    <row r="407" customFormat="false" ht="15.75" hidden="false" customHeight="true" outlineLevel="0" collapsed="false">
      <c r="A407" s="10"/>
      <c r="B407" s="10"/>
    </row>
    <row r="408" customFormat="false" ht="15.75" hidden="false" customHeight="true" outlineLevel="0" collapsed="false">
      <c r="A408" s="10"/>
      <c r="B408" s="10"/>
    </row>
    <row r="409" customFormat="false" ht="15.75" hidden="false" customHeight="true" outlineLevel="0" collapsed="false">
      <c r="A409" s="10"/>
      <c r="B409" s="10"/>
    </row>
    <row r="410" customFormat="false" ht="15.75" hidden="false" customHeight="true" outlineLevel="0" collapsed="false">
      <c r="A410" s="10"/>
      <c r="B410" s="10"/>
    </row>
    <row r="411" customFormat="false" ht="15.75" hidden="false" customHeight="true" outlineLevel="0" collapsed="false">
      <c r="A411" s="10"/>
      <c r="B411" s="10"/>
    </row>
    <row r="412" customFormat="false" ht="15.75" hidden="false" customHeight="true" outlineLevel="0" collapsed="false">
      <c r="A412" s="10"/>
      <c r="B412" s="10"/>
    </row>
    <row r="413" customFormat="false" ht="15.75" hidden="false" customHeight="true" outlineLevel="0" collapsed="false">
      <c r="A413" s="10"/>
      <c r="B413" s="10"/>
    </row>
    <row r="414" customFormat="false" ht="15.75" hidden="false" customHeight="true" outlineLevel="0" collapsed="false">
      <c r="A414" s="10"/>
      <c r="B414" s="10"/>
    </row>
    <row r="415" customFormat="false" ht="15.75" hidden="false" customHeight="true" outlineLevel="0" collapsed="false">
      <c r="A415" s="10"/>
      <c r="B415" s="10"/>
    </row>
    <row r="416" customFormat="false" ht="15.75" hidden="false" customHeight="true" outlineLevel="0" collapsed="false">
      <c r="A416" s="10"/>
      <c r="B416" s="10"/>
    </row>
    <row r="417" customFormat="false" ht="15.75" hidden="false" customHeight="true" outlineLevel="0" collapsed="false">
      <c r="A417" s="10"/>
      <c r="B417" s="10"/>
    </row>
    <row r="418" customFormat="false" ht="15.75" hidden="false" customHeight="true" outlineLevel="0" collapsed="false">
      <c r="A418" s="10"/>
      <c r="B418" s="10"/>
    </row>
    <row r="419" customFormat="false" ht="15.75" hidden="false" customHeight="true" outlineLevel="0" collapsed="false">
      <c r="A419" s="10"/>
      <c r="B419" s="10"/>
    </row>
    <row r="420" customFormat="false" ht="15.75" hidden="false" customHeight="true" outlineLevel="0" collapsed="false">
      <c r="A420" s="10"/>
      <c r="B420" s="10"/>
    </row>
    <row r="421" customFormat="false" ht="15.75" hidden="false" customHeight="true" outlineLevel="0" collapsed="false">
      <c r="A421" s="10"/>
      <c r="B421" s="10"/>
    </row>
    <row r="422" customFormat="false" ht="15.75" hidden="false" customHeight="true" outlineLevel="0" collapsed="false">
      <c r="A422" s="10"/>
      <c r="B422" s="10"/>
    </row>
    <row r="423" customFormat="false" ht="15.75" hidden="false" customHeight="true" outlineLevel="0" collapsed="false">
      <c r="A423" s="10"/>
      <c r="B423" s="10"/>
    </row>
    <row r="424" customFormat="false" ht="15.75" hidden="false" customHeight="true" outlineLevel="0" collapsed="false">
      <c r="A424" s="10"/>
      <c r="B424" s="10"/>
    </row>
    <row r="425" customFormat="false" ht="15.75" hidden="false" customHeight="true" outlineLevel="0" collapsed="false">
      <c r="A425" s="10"/>
      <c r="B425" s="10"/>
    </row>
    <row r="426" customFormat="false" ht="15.75" hidden="false" customHeight="true" outlineLevel="0" collapsed="false">
      <c r="A426" s="10"/>
      <c r="B426" s="10"/>
    </row>
    <row r="427" customFormat="false" ht="15.75" hidden="false" customHeight="true" outlineLevel="0" collapsed="false">
      <c r="A427" s="10"/>
      <c r="B427" s="10"/>
    </row>
    <row r="428" customFormat="false" ht="15.75" hidden="false" customHeight="true" outlineLevel="0" collapsed="false">
      <c r="A428" s="10"/>
      <c r="B428" s="10"/>
    </row>
    <row r="429" customFormat="false" ht="15.75" hidden="false" customHeight="true" outlineLevel="0" collapsed="false">
      <c r="A429" s="10"/>
      <c r="B429" s="10"/>
    </row>
    <row r="430" customFormat="false" ht="15.75" hidden="false" customHeight="true" outlineLevel="0" collapsed="false">
      <c r="A430" s="10"/>
      <c r="B430" s="10"/>
    </row>
    <row r="431" customFormat="false" ht="15.75" hidden="false" customHeight="true" outlineLevel="0" collapsed="false">
      <c r="A431" s="10"/>
      <c r="B431" s="10"/>
    </row>
    <row r="432" customFormat="false" ht="15.75" hidden="false" customHeight="true" outlineLevel="0" collapsed="false">
      <c r="A432" s="10"/>
      <c r="B432" s="10"/>
    </row>
    <row r="433" customFormat="false" ht="15.75" hidden="false" customHeight="true" outlineLevel="0" collapsed="false">
      <c r="A433" s="10"/>
      <c r="B433" s="10"/>
    </row>
    <row r="434" customFormat="false" ht="15.75" hidden="false" customHeight="true" outlineLevel="0" collapsed="false">
      <c r="A434" s="10"/>
      <c r="B434" s="10"/>
    </row>
    <row r="435" customFormat="false" ht="15.75" hidden="false" customHeight="true" outlineLevel="0" collapsed="false">
      <c r="A435" s="10"/>
      <c r="B435" s="10"/>
    </row>
    <row r="436" customFormat="false" ht="15.75" hidden="false" customHeight="true" outlineLevel="0" collapsed="false">
      <c r="A436" s="10"/>
      <c r="B436" s="10"/>
    </row>
    <row r="437" customFormat="false" ht="15.75" hidden="false" customHeight="true" outlineLevel="0" collapsed="false">
      <c r="A437" s="10"/>
      <c r="B437" s="10"/>
    </row>
    <row r="438" customFormat="false" ht="15.75" hidden="false" customHeight="true" outlineLevel="0" collapsed="false">
      <c r="A438" s="10"/>
      <c r="B438" s="10"/>
    </row>
    <row r="439" customFormat="false" ht="15.75" hidden="false" customHeight="true" outlineLevel="0" collapsed="false">
      <c r="A439" s="10"/>
      <c r="B439" s="10"/>
    </row>
    <row r="440" customFormat="false" ht="15.75" hidden="false" customHeight="true" outlineLevel="0" collapsed="false">
      <c r="A440" s="10"/>
      <c r="B440" s="10"/>
    </row>
    <row r="441" customFormat="false" ht="15.75" hidden="false" customHeight="true" outlineLevel="0" collapsed="false">
      <c r="A441" s="10"/>
      <c r="B441" s="10"/>
    </row>
    <row r="442" customFormat="false" ht="15.75" hidden="false" customHeight="true" outlineLevel="0" collapsed="false">
      <c r="A442" s="10"/>
      <c r="B442" s="10"/>
    </row>
    <row r="443" customFormat="false" ht="15.75" hidden="false" customHeight="true" outlineLevel="0" collapsed="false">
      <c r="A443" s="10"/>
      <c r="B443" s="10"/>
    </row>
    <row r="444" customFormat="false" ht="15.75" hidden="false" customHeight="true" outlineLevel="0" collapsed="false">
      <c r="A444" s="10"/>
      <c r="B444" s="10"/>
    </row>
    <row r="445" customFormat="false" ht="15.75" hidden="false" customHeight="true" outlineLevel="0" collapsed="false">
      <c r="A445" s="10"/>
      <c r="B445" s="10"/>
    </row>
    <row r="446" customFormat="false" ht="15.75" hidden="false" customHeight="true" outlineLevel="0" collapsed="false">
      <c r="A446" s="10"/>
      <c r="B446" s="10"/>
    </row>
    <row r="447" customFormat="false" ht="15.75" hidden="false" customHeight="true" outlineLevel="0" collapsed="false">
      <c r="A447" s="10"/>
      <c r="B447" s="10"/>
    </row>
    <row r="448" customFormat="false" ht="15.75" hidden="false" customHeight="true" outlineLevel="0" collapsed="false">
      <c r="A448" s="10"/>
      <c r="B448" s="10"/>
    </row>
    <row r="449" customFormat="false" ht="15.75" hidden="false" customHeight="true" outlineLevel="0" collapsed="false">
      <c r="A449" s="10"/>
      <c r="B449" s="10"/>
    </row>
    <row r="450" customFormat="false" ht="15.75" hidden="false" customHeight="true" outlineLevel="0" collapsed="false">
      <c r="A450" s="10"/>
      <c r="B450" s="10"/>
    </row>
    <row r="451" customFormat="false" ht="15.75" hidden="false" customHeight="true" outlineLevel="0" collapsed="false">
      <c r="A451" s="10"/>
      <c r="B451" s="10"/>
    </row>
    <row r="452" customFormat="false" ht="15.75" hidden="false" customHeight="true" outlineLevel="0" collapsed="false">
      <c r="A452" s="10"/>
      <c r="B452" s="10"/>
    </row>
    <row r="453" customFormat="false" ht="15.75" hidden="false" customHeight="true" outlineLevel="0" collapsed="false">
      <c r="A453" s="10"/>
      <c r="B453" s="10"/>
    </row>
    <row r="454" customFormat="false" ht="15.75" hidden="false" customHeight="true" outlineLevel="0" collapsed="false">
      <c r="A454" s="10"/>
      <c r="B454" s="10"/>
    </row>
    <row r="455" customFormat="false" ht="15.75" hidden="false" customHeight="true" outlineLevel="0" collapsed="false">
      <c r="A455" s="10"/>
      <c r="B455" s="10"/>
    </row>
    <row r="456" customFormat="false" ht="15.75" hidden="false" customHeight="true" outlineLevel="0" collapsed="false">
      <c r="A456" s="10"/>
      <c r="B456" s="10"/>
    </row>
    <row r="457" customFormat="false" ht="15.75" hidden="false" customHeight="true" outlineLevel="0" collapsed="false">
      <c r="A457" s="10"/>
      <c r="B457" s="10"/>
    </row>
    <row r="458" customFormat="false" ht="15.75" hidden="false" customHeight="true" outlineLevel="0" collapsed="false">
      <c r="A458" s="10"/>
      <c r="B458" s="10"/>
    </row>
    <row r="459" customFormat="false" ht="15.75" hidden="false" customHeight="true" outlineLevel="0" collapsed="false">
      <c r="A459" s="10"/>
      <c r="B459" s="10"/>
    </row>
    <row r="460" customFormat="false" ht="15.75" hidden="false" customHeight="true" outlineLevel="0" collapsed="false">
      <c r="A460" s="10"/>
      <c r="B460" s="10"/>
    </row>
    <row r="461" customFormat="false" ht="15.75" hidden="false" customHeight="true" outlineLevel="0" collapsed="false">
      <c r="A461" s="10"/>
      <c r="B461" s="10"/>
    </row>
    <row r="462" customFormat="false" ht="15.75" hidden="false" customHeight="true" outlineLevel="0" collapsed="false">
      <c r="A462" s="10"/>
      <c r="B462" s="10"/>
    </row>
    <row r="463" customFormat="false" ht="15.75" hidden="false" customHeight="true" outlineLevel="0" collapsed="false">
      <c r="A463" s="10"/>
      <c r="B463" s="10"/>
    </row>
    <row r="464" customFormat="false" ht="15.75" hidden="false" customHeight="true" outlineLevel="0" collapsed="false">
      <c r="A464" s="10"/>
      <c r="B464" s="10"/>
    </row>
    <row r="465" customFormat="false" ht="15.75" hidden="false" customHeight="true" outlineLevel="0" collapsed="false">
      <c r="A465" s="10"/>
      <c r="B465" s="10"/>
    </row>
    <row r="466" customFormat="false" ht="15.75" hidden="false" customHeight="true" outlineLevel="0" collapsed="false">
      <c r="A466" s="10"/>
      <c r="B466" s="10"/>
    </row>
    <row r="467" customFormat="false" ht="15.75" hidden="false" customHeight="true" outlineLevel="0" collapsed="false">
      <c r="A467" s="10"/>
      <c r="B467" s="10"/>
    </row>
    <row r="468" customFormat="false" ht="15.75" hidden="false" customHeight="true" outlineLevel="0" collapsed="false">
      <c r="A468" s="10"/>
      <c r="B468" s="10"/>
    </row>
    <row r="469" customFormat="false" ht="15.75" hidden="false" customHeight="true" outlineLevel="0" collapsed="false">
      <c r="A469" s="10"/>
      <c r="B469" s="10"/>
    </row>
    <row r="470" customFormat="false" ht="15.75" hidden="false" customHeight="true" outlineLevel="0" collapsed="false">
      <c r="A470" s="10"/>
      <c r="B470" s="10"/>
    </row>
    <row r="471" customFormat="false" ht="15.75" hidden="false" customHeight="true" outlineLevel="0" collapsed="false">
      <c r="A471" s="10"/>
      <c r="B471" s="10"/>
    </row>
    <row r="472" customFormat="false" ht="15.75" hidden="false" customHeight="true" outlineLevel="0" collapsed="false">
      <c r="A472" s="10"/>
      <c r="B472" s="10"/>
    </row>
    <row r="473" customFormat="false" ht="15.75" hidden="false" customHeight="true" outlineLevel="0" collapsed="false">
      <c r="A473" s="10"/>
      <c r="B473" s="10"/>
    </row>
    <row r="474" customFormat="false" ht="15.75" hidden="false" customHeight="true" outlineLevel="0" collapsed="false">
      <c r="A474" s="10"/>
      <c r="B474" s="10"/>
    </row>
    <row r="475" customFormat="false" ht="15.75" hidden="false" customHeight="true" outlineLevel="0" collapsed="false">
      <c r="A475" s="10"/>
      <c r="B475" s="10"/>
    </row>
    <row r="476" customFormat="false" ht="15.75" hidden="false" customHeight="true" outlineLevel="0" collapsed="false">
      <c r="A476" s="10"/>
      <c r="B476" s="10"/>
    </row>
    <row r="477" customFormat="false" ht="15.75" hidden="false" customHeight="true" outlineLevel="0" collapsed="false">
      <c r="A477" s="10"/>
      <c r="B477" s="10"/>
    </row>
    <row r="478" customFormat="false" ht="15.75" hidden="false" customHeight="true" outlineLevel="0" collapsed="false">
      <c r="A478" s="10"/>
      <c r="B478" s="10"/>
    </row>
    <row r="479" customFormat="false" ht="15.75" hidden="false" customHeight="true" outlineLevel="0" collapsed="false">
      <c r="A479" s="10"/>
      <c r="B479" s="10"/>
    </row>
    <row r="480" customFormat="false" ht="15.75" hidden="false" customHeight="true" outlineLevel="0" collapsed="false">
      <c r="A480" s="10"/>
      <c r="B480" s="10"/>
    </row>
    <row r="481" customFormat="false" ht="15.75" hidden="false" customHeight="true" outlineLevel="0" collapsed="false">
      <c r="A481" s="10"/>
      <c r="B481" s="10"/>
    </row>
    <row r="482" customFormat="false" ht="15.75" hidden="false" customHeight="true" outlineLevel="0" collapsed="false">
      <c r="A482" s="10"/>
      <c r="B482" s="10"/>
    </row>
    <row r="483" customFormat="false" ht="15.75" hidden="false" customHeight="true" outlineLevel="0" collapsed="false">
      <c r="A483" s="10"/>
      <c r="B483" s="10"/>
    </row>
    <row r="484" customFormat="false" ht="15.75" hidden="false" customHeight="true" outlineLevel="0" collapsed="false">
      <c r="A484" s="10"/>
      <c r="B484" s="10"/>
    </row>
    <row r="485" customFormat="false" ht="15.75" hidden="false" customHeight="true" outlineLevel="0" collapsed="false">
      <c r="A485" s="10"/>
      <c r="B485" s="10"/>
    </row>
    <row r="486" customFormat="false" ht="15.75" hidden="false" customHeight="true" outlineLevel="0" collapsed="false">
      <c r="A486" s="10"/>
      <c r="B486" s="10"/>
    </row>
    <row r="487" customFormat="false" ht="15.75" hidden="false" customHeight="true" outlineLevel="0" collapsed="false">
      <c r="A487" s="10"/>
      <c r="B487" s="10"/>
    </row>
    <row r="488" customFormat="false" ht="15.75" hidden="false" customHeight="true" outlineLevel="0" collapsed="false">
      <c r="A488" s="10"/>
      <c r="B488" s="10"/>
    </row>
    <row r="489" customFormat="false" ht="15.75" hidden="false" customHeight="true" outlineLevel="0" collapsed="false">
      <c r="A489" s="10"/>
      <c r="B489" s="10"/>
    </row>
    <row r="490" customFormat="false" ht="15.75" hidden="false" customHeight="true" outlineLevel="0" collapsed="false">
      <c r="A490" s="10"/>
      <c r="B490" s="10"/>
    </row>
    <row r="491" customFormat="false" ht="15.75" hidden="false" customHeight="true" outlineLevel="0" collapsed="false">
      <c r="A491" s="10"/>
      <c r="B491" s="10"/>
    </row>
    <row r="492" customFormat="false" ht="15.75" hidden="false" customHeight="true" outlineLevel="0" collapsed="false">
      <c r="A492" s="10"/>
      <c r="B492" s="10"/>
    </row>
    <row r="493" customFormat="false" ht="15.75" hidden="false" customHeight="true" outlineLevel="0" collapsed="false">
      <c r="A493" s="10"/>
      <c r="B493" s="10"/>
    </row>
    <row r="494" customFormat="false" ht="15.75" hidden="false" customHeight="true" outlineLevel="0" collapsed="false">
      <c r="A494" s="10"/>
      <c r="B494" s="10"/>
    </row>
    <row r="495" customFormat="false" ht="15.75" hidden="false" customHeight="true" outlineLevel="0" collapsed="false">
      <c r="A495" s="10"/>
      <c r="B495" s="10"/>
    </row>
    <row r="496" customFormat="false" ht="15.75" hidden="false" customHeight="true" outlineLevel="0" collapsed="false">
      <c r="A496" s="10"/>
      <c r="B496" s="10"/>
    </row>
    <row r="497" customFormat="false" ht="15.75" hidden="false" customHeight="true" outlineLevel="0" collapsed="false">
      <c r="A497" s="10"/>
      <c r="B497" s="10"/>
    </row>
    <row r="498" customFormat="false" ht="15.75" hidden="false" customHeight="true" outlineLevel="0" collapsed="false">
      <c r="A498" s="10"/>
      <c r="B498" s="10"/>
    </row>
    <row r="499" customFormat="false" ht="15.75" hidden="false" customHeight="true" outlineLevel="0" collapsed="false">
      <c r="A499" s="10"/>
      <c r="B499" s="10"/>
    </row>
    <row r="500" customFormat="false" ht="15.75" hidden="false" customHeight="true" outlineLevel="0" collapsed="false">
      <c r="A500" s="10"/>
      <c r="B500" s="10"/>
    </row>
    <row r="501" customFormat="false" ht="15.75" hidden="false" customHeight="true" outlineLevel="0" collapsed="false">
      <c r="A501" s="10"/>
      <c r="B501" s="10"/>
    </row>
    <row r="502" customFormat="false" ht="15.75" hidden="false" customHeight="true" outlineLevel="0" collapsed="false">
      <c r="A502" s="10"/>
      <c r="B502" s="10"/>
    </row>
    <row r="503" customFormat="false" ht="15.75" hidden="false" customHeight="true" outlineLevel="0" collapsed="false">
      <c r="A503" s="10"/>
      <c r="B503" s="10"/>
    </row>
    <row r="504" customFormat="false" ht="15.75" hidden="false" customHeight="true" outlineLevel="0" collapsed="false">
      <c r="A504" s="10"/>
      <c r="B504" s="10"/>
    </row>
    <row r="505" customFormat="false" ht="15.75" hidden="false" customHeight="true" outlineLevel="0" collapsed="false">
      <c r="A505" s="10"/>
      <c r="B505" s="10"/>
    </row>
    <row r="506" customFormat="false" ht="15.75" hidden="false" customHeight="true" outlineLevel="0" collapsed="false">
      <c r="A506" s="10"/>
      <c r="B506" s="10"/>
    </row>
    <row r="507" customFormat="false" ht="15.75" hidden="false" customHeight="true" outlineLevel="0" collapsed="false">
      <c r="A507" s="10"/>
      <c r="B507" s="10"/>
    </row>
    <row r="508" customFormat="false" ht="15.75" hidden="false" customHeight="true" outlineLevel="0" collapsed="false">
      <c r="A508" s="10"/>
      <c r="B508" s="10"/>
    </row>
    <row r="509" customFormat="false" ht="15.75" hidden="false" customHeight="true" outlineLevel="0" collapsed="false">
      <c r="A509" s="10"/>
      <c r="B509" s="10"/>
    </row>
    <row r="510" customFormat="false" ht="15.75" hidden="false" customHeight="true" outlineLevel="0" collapsed="false">
      <c r="A510" s="10"/>
      <c r="B510" s="10"/>
    </row>
    <row r="511" customFormat="false" ht="15.75" hidden="false" customHeight="true" outlineLevel="0" collapsed="false">
      <c r="A511" s="10"/>
      <c r="B511" s="10"/>
    </row>
    <row r="512" customFormat="false" ht="15.75" hidden="false" customHeight="true" outlineLevel="0" collapsed="false">
      <c r="A512" s="10"/>
      <c r="B512" s="10"/>
    </row>
    <row r="513" customFormat="false" ht="15.75" hidden="false" customHeight="true" outlineLevel="0" collapsed="false">
      <c r="A513" s="10"/>
      <c r="B513" s="10"/>
    </row>
    <row r="514" customFormat="false" ht="15.75" hidden="false" customHeight="true" outlineLevel="0" collapsed="false">
      <c r="A514" s="10"/>
      <c r="B514" s="10"/>
    </row>
    <row r="515" customFormat="false" ht="15.75" hidden="false" customHeight="true" outlineLevel="0" collapsed="false">
      <c r="A515" s="10"/>
      <c r="B515" s="10"/>
    </row>
    <row r="516" customFormat="false" ht="15.75" hidden="false" customHeight="true" outlineLevel="0" collapsed="false">
      <c r="A516" s="10"/>
      <c r="B516" s="10"/>
    </row>
    <row r="517" customFormat="false" ht="15.75" hidden="false" customHeight="true" outlineLevel="0" collapsed="false">
      <c r="A517" s="10"/>
      <c r="B517" s="10"/>
    </row>
    <row r="518" customFormat="false" ht="15.75" hidden="false" customHeight="true" outlineLevel="0" collapsed="false">
      <c r="A518" s="10"/>
      <c r="B518" s="10"/>
    </row>
    <row r="519" customFormat="false" ht="15.75" hidden="false" customHeight="true" outlineLevel="0" collapsed="false">
      <c r="A519" s="10"/>
      <c r="B519" s="10"/>
    </row>
    <row r="520" customFormat="false" ht="15.75" hidden="false" customHeight="true" outlineLevel="0" collapsed="false">
      <c r="A520" s="10"/>
      <c r="B520" s="10"/>
    </row>
    <row r="521" customFormat="false" ht="15.75" hidden="false" customHeight="true" outlineLevel="0" collapsed="false">
      <c r="A521" s="10"/>
      <c r="B521" s="10"/>
    </row>
    <row r="522" customFormat="false" ht="15.75" hidden="false" customHeight="true" outlineLevel="0" collapsed="false">
      <c r="A522" s="10"/>
      <c r="B522" s="10"/>
    </row>
    <row r="523" customFormat="false" ht="15.75" hidden="false" customHeight="true" outlineLevel="0" collapsed="false">
      <c r="A523" s="10"/>
      <c r="B523" s="10"/>
    </row>
    <row r="524" customFormat="false" ht="15.75" hidden="false" customHeight="true" outlineLevel="0" collapsed="false">
      <c r="A524" s="10"/>
      <c r="B524" s="10"/>
    </row>
    <row r="525" customFormat="false" ht="15.75" hidden="false" customHeight="true" outlineLevel="0" collapsed="false">
      <c r="A525" s="10"/>
      <c r="B525" s="10"/>
    </row>
    <row r="526" customFormat="false" ht="15.75" hidden="false" customHeight="true" outlineLevel="0" collapsed="false">
      <c r="A526" s="10"/>
      <c r="B526" s="10"/>
    </row>
    <row r="527" customFormat="false" ht="15.75" hidden="false" customHeight="true" outlineLevel="0" collapsed="false">
      <c r="A527" s="10"/>
      <c r="B527" s="10"/>
    </row>
    <row r="528" customFormat="false" ht="15.75" hidden="false" customHeight="true" outlineLevel="0" collapsed="false">
      <c r="A528" s="10"/>
      <c r="B528" s="10"/>
    </row>
    <row r="529" customFormat="false" ht="15.75" hidden="false" customHeight="true" outlineLevel="0" collapsed="false">
      <c r="A529" s="10"/>
      <c r="B529" s="10"/>
    </row>
    <row r="530" customFormat="false" ht="15.75" hidden="false" customHeight="true" outlineLevel="0" collapsed="false">
      <c r="A530" s="10"/>
      <c r="B530" s="10"/>
    </row>
    <row r="531" customFormat="false" ht="15.75" hidden="false" customHeight="true" outlineLevel="0" collapsed="false">
      <c r="A531" s="10"/>
      <c r="B531" s="10"/>
    </row>
    <row r="532" customFormat="false" ht="15.75" hidden="false" customHeight="true" outlineLevel="0" collapsed="false">
      <c r="A532" s="10"/>
      <c r="B532" s="10"/>
    </row>
    <row r="533" customFormat="false" ht="15.75" hidden="false" customHeight="true" outlineLevel="0" collapsed="false">
      <c r="A533" s="10"/>
      <c r="B533" s="10"/>
    </row>
    <row r="534" customFormat="false" ht="15.75" hidden="false" customHeight="true" outlineLevel="0" collapsed="false">
      <c r="A534" s="10"/>
      <c r="B534" s="10"/>
    </row>
    <row r="535" customFormat="false" ht="15.75" hidden="false" customHeight="true" outlineLevel="0" collapsed="false">
      <c r="A535" s="10"/>
      <c r="B535" s="10"/>
    </row>
    <row r="536" customFormat="false" ht="15.75" hidden="false" customHeight="true" outlineLevel="0" collapsed="false">
      <c r="A536" s="10"/>
      <c r="B536" s="10"/>
    </row>
    <row r="537" customFormat="false" ht="15.75" hidden="false" customHeight="true" outlineLevel="0" collapsed="false">
      <c r="A537" s="10"/>
      <c r="B537" s="10"/>
    </row>
    <row r="538" customFormat="false" ht="15.75" hidden="false" customHeight="true" outlineLevel="0" collapsed="false">
      <c r="A538" s="10"/>
      <c r="B538" s="10"/>
    </row>
    <row r="539" customFormat="false" ht="15.75" hidden="false" customHeight="true" outlineLevel="0" collapsed="false">
      <c r="A539" s="10"/>
      <c r="B539" s="10"/>
    </row>
    <row r="540" customFormat="false" ht="15.75" hidden="false" customHeight="true" outlineLevel="0" collapsed="false">
      <c r="A540" s="10"/>
      <c r="B540" s="10"/>
    </row>
    <row r="541" customFormat="false" ht="15.75" hidden="false" customHeight="true" outlineLevel="0" collapsed="false">
      <c r="A541" s="10"/>
      <c r="B541" s="10"/>
    </row>
    <row r="542" customFormat="false" ht="15.75" hidden="false" customHeight="true" outlineLevel="0" collapsed="false">
      <c r="A542" s="10"/>
      <c r="B542" s="10"/>
    </row>
    <row r="543" customFormat="false" ht="15.75" hidden="false" customHeight="true" outlineLevel="0" collapsed="false">
      <c r="A543" s="10"/>
      <c r="B543" s="10"/>
    </row>
    <row r="544" customFormat="false" ht="15.75" hidden="false" customHeight="true" outlineLevel="0" collapsed="false">
      <c r="A544" s="10"/>
      <c r="B544" s="10"/>
    </row>
    <row r="545" customFormat="false" ht="15.75" hidden="false" customHeight="true" outlineLevel="0" collapsed="false">
      <c r="A545" s="10"/>
      <c r="B545" s="10"/>
    </row>
    <row r="546" customFormat="false" ht="15.75" hidden="false" customHeight="true" outlineLevel="0" collapsed="false">
      <c r="A546" s="10"/>
      <c r="B546" s="10"/>
    </row>
    <row r="547" customFormat="false" ht="15.75" hidden="false" customHeight="true" outlineLevel="0" collapsed="false">
      <c r="A547" s="10"/>
      <c r="B547" s="10"/>
    </row>
    <row r="548" customFormat="false" ht="15.75" hidden="false" customHeight="true" outlineLevel="0" collapsed="false">
      <c r="A548" s="10"/>
      <c r="B548" s="10"/>
    </row>
    <row r="549" customFormat="false" ht="15.75" hidden="false" customHeight="true" outlineLevel="0" collapsed="false">
      <c r="A549" s="10"/>
      <c r="B549" s="10"/>
    </row>
    <row r="550" customFormat="false" ht="15.75" hidden="false" customHeight="true" outlineLevel="0" collapsed="false">
      <c r="A550" s="10"/>
      <c r="B550" s="10"/>
    </row>
    <row r="551" customFormat="false" ht="15.75" hidden="false" customHeight="true" outlineLevel="0" collapsed="false">
      <c r="A551" s="10"/>
      <c r="B551" s="10"/>
    </row>
    <row r="552" customFormat="false" ht="15.75" hidden="false" customHeight="true" outlineLevel="0" collapsed="false">
      <c r="A552" s="10"/>
      <c r="B552" s="10"/>
    </row>
    <row r="553" customFormat="false" ht="15.75" hidden="false" customHeight="true" outlineLevel="0" collapsed="false">
      <c r="A553" s="10"/>
      <c r="B553" s="10"/>
    </row>
    <row r="554" customFormat="false" ht="15.75" hidden="false" customHeight="true" outlineLevel="0" collapsed="false">
      <c r="A554" s="10"/>
      <c r="B554" s="10"/>
    </row>
    <row r="555" customFormat="false" ht="15.75" hidden="false" customHeight="true" outlineLevel="0" collapsed="false">
      <c r="A555" s="10"/>
      <c r="B555" s="10"/>
    </row>
    <row r="556" customFormat="false" ht="15.75" hidden="false" customHeight="true" outlineLevel="0" collapsed="false">
      <c r="A556" s="10"/>
      <c r="B556" s="10"/>
    </row>
    <row r="557" customFormat="false" ht="15.75" hidden="false" customHeight="true" outlineLevel="0" collapsed="false">
      <c r="A557" s="10"/>
      <c r="B557" s="10"/>
    </row>
    <row r="558" customFormat="false" ht="15.75" hidden="false" customHeight="true" outlineLevel="0" collapsed="false">
      <c r="A558" s="10"/>
      <c r="B558" s="10"/>
    </row>
    <row r="559" customFormat="false" ht="15.75" hidden="false" customHeight="true" outlineLevel="0" collapsed="false">
      <c r="A559" s="10"/>
      <c r="B559" s="10"/>
    </row>
    <row r="560" customFormat="false" ht="15.75" hidden="false" customHeight="true" outlineLevel="0" collapsed="false">
      <c r="A560" s="10"/>
      <c r="B560" s="10"/>
    </row>
    <row r="561" customFormat="false" ht="15.75" hidden="false" customHeight="true" outlineLevel="0" collapsed="false">
      <c r="A561" s="10"/>
      <c r="B561" s="10"/>
    </row>
    <row r="562" customFormat="false" ht="15.75" hidden="false" customHeight="true" outlineLevel="0" collapsed="false">
      <c r="A562" s="10"/>
      <c r="B562" s="10"/>
    </row>
    <row r="563" customFormat="false" ht="15.75" hidden="false" customHeight="true" outlineLevel="0" collapsed="false">
      <c r="A563" s="10"/>
      <c r="B563" s="10"/>
    </row>
    <row r="564" customFormat="false" ht="15.75" hidden="false" customHeight="true" outlineLevel="0" collapsed="false">
      <c r="A564" s="10"/>
      <c r="B564" s="10"/>
    </row>
    <row r="565" customFormat="false" ht="15.75" hidden="false" customHeight="true" outlineLevel="0" collapsed="false">
      <c r="A565" s="10"/>
      <c r="B565" s="10"/>
    </row>
    <row r="566" customFormat="false" ht="15.75" hidden="false" customHeight="true" outlineLevel="0" collapsed="false">
      <c r="A566" s="10"/>
      <c r="B566" s="10"/>
    </row>
    <row r="567" customFormat="false" ht="15.75" hidden="false" customHeight="true" outlineLevel="0" collapsed="false">
      <c r="A567" s="10"/>
      <c r="B567" s="10"/>
    </row>
    <row r="568" customFormat="false" ht="15.75" hidden="false" customHeight="true" outlineLevel="0" collapsed="false">
      <c r="A568" s="10"/>
      <c r="B568" s="10"/>
    </row>
    <row r="569" customFormat="false" ht="15.75" hidden="false" customHeight="true" outlineLevel="0" collapsed="false">
      <c r="A569" s="10"/>
      <c r="B569" s="10"/>
    </row>
    <row r="570" customFormat="false" ht="15.75" hidden="false" customHeight="true" outlineLevel="0" collapsed="false">
      <c r="A570" s="10"/>
      <c r="B570" s="10"/>
    </row>
    <row r="571" customFormat="false" ht="15.75" hidden="false" customHeight="true" outlineLevel="0" collapsed="false">
      <c r="A571" s="10"/>
      <c r="B571" s="10"/>
    </row>
    <row r="572" customFormat="false" ht="15.75" hidden="false" customHeight="true" outlineLevel="0" collapsed="false">
      <c r="A572" s="10"/>
      <c r="B572" s="10"/>
    </row>
    <row r="573" customFormat="false" ht="15.75" hidden="false" customHeight="true" outlineLevel="0" collapsed="false">
      <c r="A573" s="10"/>
      <c r="B573" s="10"/>
    </row>
    <row r="574" customFormat="false" ht="15.75" hidden="false" customHeight="true" outlineLevel="0" collapsed="false">
      <c r="A574" s="10"/>
      <c r="B574" s="10"/>
    </row>
    <row r="575" customFormat="false" ht="15.75" hidden="false" customHeight="true" outlineLevel="0" collapsed="false">
      <c r="A575" s="10"/>
      <c r="B575" s="10"/>
    </row>
    <row r="576" customFormat="false" ht="15.75" hidden="false" customHeight="true" outlineLevel="0" collapsed="false">
      <c r="A576" s="10"/>
      <c r="B576" s="10"/>
    </row>
    <row r="577" customFormat="false" ht="15.75" hidden="false" customHeight="true" outlineLevel="0" collapsed="false">
      <c r="A577" s="10"/>
      <c r="B577" s="10"/>
    </row>
    <row r="578" customFormat="false" ht="15.75" hidden="false" customHeight="true" outlineLevel="0" collapsed="false">
      <c r="A578" s="10"/>
      <c r="B578" s="10"/>
    </row>
    <row r="579" customFormat="false" ht="15.75" hidden="false" customHeight="true" outlineLevel="0" collapsed="false">
      <c r="A579" s="10"/>
      <c r="B579" s="10"/>
    </row>
    <row r="580" customFormat="false" ht="15.75" hidden="false" customHeight="true" outlineLevel="0" collapsed="false">
      <c r="A580" s="10"/>
      <c r="B580" s="10"/>
    </row>
    <row r="581" customFormat="false" ht="15.75" hidden="false" customHeight="true" outlineLevel="0" collapsed="false">
      <c r="A581" s="10"/>
      <c r="B581" s="10"/>
    </row>
    <row r="582" customFormat="false" ht="15.75" hidden="false" customHeight="true" outlineLevel="0" collapsed="false">
      <c r="A582" s="10"/>
      <c r="B582" s="10"/>
    </row>
    <row r="583" customFormat="false" ht="15.75" hidden="false" customHeight="true" outlineLevel="0" collapsed="false">
      <c r="A583" s="10"/>
      <c r="B583" s="10"/>
    </row>
    <row r="584" customFormat="false" ht="15.75" hidden="false" customHeight="true" outlineLevel="0" collapsed="false">
      <c r="A584" s="10"/>
      <c r="B584" s="10"/>
    </row>
    <row r="585" customFormat="false" ht="15.75" hidden="false" customHeight="true" outlineLevel="0" collapsed="false">
      <c r="A585" s="10"/>
      <c r="B585" s="10"/>
    </row>
    <row r="586" customFormat="false" ht="15.75" hidden="false" customHeight="true" outlineLevel="0" collapsed="false">
      <c r="A586" s="10"/>
      <c r="B586" s="10"/>
    </row>
    <row r="587" customFormat="false" ht="15.75" hidden="false" customHeight="true" outlineLevel="0" collapsed="false">
      <c r="A587" s="10"/>
      <c r="B587" s="10"/>
    </row>
    <row r="588" customFormat="false" ht="15.75" hidden="false" customHeight="true" outlineLevel="0" collapsed="false">
      <c r="A588" s="10"/>
      <c r="B588" s="10"/>
    </row>
    <row r="589" customFormat="false" ht="15.75" hidden="false" customHeight="true" outlineLevel="0" collapsed="false">
      <c r="A589" s="10"/>
      <c r="B589" s="10"/>
    </row>
    <row r="590" customFormat="false" ht="15.75" hidden="false" customHeight="true" outlineLevel="0" collapsed="false">
      <c r="A590" s="10"/>
      <c r="B590" s="10"/>
    </row>
    <row r="591" customFormat="false" ht="15.75" hidden="false" customHeight="true" outlineLevel="0" collapsed="false">
      <c r="A591" s="10"/>
      <c r="B591" s="10"/>
    </row>
    <row r="592" customFormat="false" ht="15.75" hidden="false" customHeight="true" outlineLevel="0" collapsed="false">
      <c r="A592" s="10"/>
      <c r="B592" s="10"/>
    </row>
    <row r="593" customFormat="false" ht="15.75" hidden="false" customHeight="true" outlineLevel="0" collapsed="false">
      <c r="A593" s="10"/>
      <c r="B593" s="10"/>
    </row>
    <row r="594" customFormat="false" ht="15.75" hidden="false" customHeight="true" outlineLevel="0" collapsed="false">
      <c r="A594" s="10"/>
      <c r="B594" s="10"/>
    </row>
    <row r="595" customFormat="false" ht="15.75" hidden="false" customHeight="true" outlineLevel="0" collapsed="false">
      <c r="A595" s="10"/>
      <c r="B595" s="10"/>
    </row>
    <row r="596" customFormat="false" ht="15.75" hidden="false" customHeight="true" outlineLevel="0" collapsed="false">
      <c r="A596" s="10"/>
      <c r="B596" s="10"/>
    </row>
    <row r="597" customFormat="false" ht="15.75" hidden="false" customHeight="true" outlineLevel="0" collapsed="false">
      <c r="A597" s="10"/>
      <c r="B597" s="10"/>
    </row>
    <row r="598" customFormat="false" ht="15.75" hidden="false" customHeight="true" outlineLevel="0" collapsed="false">
      <c r="A598" s="10"/>
      <c r="B598" s="10"/>
    </row>
    <row r="599" customFormat="false" ht="15.75" hidden="false" customHeight="true" outlineLevel="0" collapsed="false">
      <c r="A599" s="10"/>
      <c r="B599" s="10"/>
    </row>
    <row r="600" customFormat="false" ht="15.75" hidden="false" customHeight="true" outlineLevel="0" collapsed="false">
      <c r="A600" s="10"/>
      <c r="B600" s="10"/>
    </row>
    <row r="601" customFormat="false" ht="15.75" hidden="false" customHeight="true" outlineLevel="0" collapsed="false">
      <c r="A601" s="10"/>
      <c r="B601" s="10"/>
    </row>
    <row r="602" customFormat="false" ht="15.75" hidden="false" customHeight="true" outlineLevel="0" collapsed="false">
      <c r="A602" s="10"/>
      <c r="B602" s="10"/>
    </row>
    <row r="603" customFormat="false" ht="15.75" hidden="false" customHeight="true" outlineLevel="0" collapsed="false">
      <c r="A603" s="10"/>
      <c r="B603" s="10"/>
    </row>
    <row r="604" customFormat="false" ht="15.75" hidden="false" customHeight="true" outlineLevel="0" collapsed="false">
      <c r="A604" s="10"/>
      <c r="B604" s="10"/>
    </row>
    <row r="605" customFormat="false" ht="15.75" hidden="false" customHeight="true" outlineLevel="0" collapsed="false">
      <c r="A605" s="10"/>
      <c r="B605" s="10"/>
    </row>
    <row r="606" customFormat="false" ht="15.75" hidden="false" customHeight="true" outlineLevel="0" collapsed="false">
      <c r="A606" s="10"/>
      <c r="B606" s="10"/>
    </row>
    <row r="607" customFormat="false" ht="15.75" hidden="false" customHeight="true" outlineLevel="0" collapsed="false">
      <c r="A607" s="10"/>
      <c r="B607" s="10"/>
    </row>
    <row r="608" customFormat="false" ht="15.75" hidden="false" customHeight="true" outlineLevel="0" collapsed="false">
      <c r="A608" s="10"/>
      <c r="B608" s="10"/>
    </row>
    <row r="609" customFormat="false" ht="15.75" hidden="false" customHeight="true" outlineLevel="0" collapsed="false">
      <c r="A609" s="10"/>
      <c r="B609" s="10"/>
    </row>
    <row r="610" customFormat="false" ht="15.75" hidden="false" customHeight="true" outlineLevel="0" collapsed="false">
      <c r="A610" s="10"/>
      <c r="B610" s="10"/>
    </row>
    <row r="611" customFormat="false" ht="15.75" hidden="false" customHeight="true" outlineLevel="0" collapsed="false">
      <c r="A611" s="10"/>
      <c r="B611" s="10"/>
    </row>
    <row r="612" customFormat="false" ht="15.75" hidden="false" customHeight="true" outlineLevel="0" collapsed="false">
      <c r="A612" s="10"/>
      <c r="B612" s="10"/>
    </row>
    <row r="613" customFormat="false" ht="15.75" hidden="false" customHeight="true" outlineLevel="0" collapsed="false">
      <c r="A613" s="10"/>
      <c r="B613" s="10"/>
    </row>
    <row r="614" customFormat="false" ht="15.75" hidden="false" customHeight="true" outlineLevel="0" collapsed="false">
      <c r="A614" s="10"/>
      <c r="B614" s="10"/>
    </row>
    <row r="615" customFormat="false" ht="15.75" hidden="false" customHeight="true" outlineLevel="0" collapsed="false">
      <c r="A615" s="10"/>
      <c r="B615" s="10"/>
    </row>
    <row r="616" customFormat="false" ht="15.75" hidden="false" customHeight="true" outlineLevel="0" collapsed="false">
      <c r="A616" s="10"/>
      <c r="B616" s="10"/>
    </row>
    <row r="617" customFormat="false" ht="15.75" hidden="false" customHeight="true" outlineLevel="0" collapsed="false">
      <c r="A617" s="10"/>
      <c r="B617" s="10"/>
    </row>
    <row r="618" customFormat="false" ht="15.75" hidden="false" customHeight="true" outlineLevel="0" collapsed="false">
      <c r="A618" s="10"/>
      <c r="B618" s="10"/>
    </row>
    <row r="619" customFormat="false" ht="15.75" hidden="false" customHeight="true" outlineLevel="0" collapsed="false">
      <c r="A619" s="10"/>
      <c r="B619" s="10"/>
    </row>
    <row r="620" customFormat="false" ht="15.75" hidden="false" customHeight="true" outlineLevel="0" collapsed="false">
      <c r="A620" s="10"/>
      <c r="B620" s="10"/>
    </row>
    <row r="621" customFormat="false" ht="15.75" hidden="false" customHeight="true" outlineLevel="0" collapsed="false">
      <c r="A621" s="10"/>
      <c r="B621" s="10"/>
    </row>
    <row r="622" customFormat="false" ht="15.75" hidden="false" customHeight="true" outlineLevel="0" collapsed="false">
      <c r="A622" s="10"/>
      <c r="B622" s="10"/>
    </row>
    <row r="623" customFormat="false" ht="15.75" hidden="false" customHeight="true" outlineLevel="0" collapsed="false">
      <c r="A623" s="10"/>
      <c r="B623" s="10"/>
    </row>
    <row r="624" customFormat="false" ht="15.75" hidden="false" customHeight="true" outlineLevel="0" collapsed="false">
      <c r="A624" s="10"/>
      <c r="B624" s="10"/>
    </row>
    <row r="625" customFormat="false" ht="15.75" hidden="false" customHeight="true" outlineLevel="0" collapsed="false">
      <c r="A625" s="10"/>
      <c r="B625" s="10"/>
    </row>
    <row r="626" customFormat="false" ht="15.75" hidden="false" customHeight="true" outlineLevel="0" collapsed="false">
      <c r="A626" s="10"/>
      <c r="B626" s="10"/>
    </row>
    <row r="627" customFormat="false" ht="15.75" hidden="false" customHeight="true" outlineLevel="0" collapsed="false">
      <c r="A627" s="10"/>
      <c r="B627" s="10"/>
    </row>
    <row r="628" customFormat="false" ht="15.75" hidden="false" customHeight="true" outlineLevel="0" collapsed="false">
      <c r="A628" s="10"/>
      <c r="B628" s="10"/>
    </row>
    <row r="629" customFormat="false" ht="15.75" hidden="false" customHeight="true" outlineLevel="0" collapsed="false">
      <c r="A629" s="10"/>
      <c r="B629" s="10"/>
    </row>
    <row r="630" customFormat="false" ht="15.75" hidden="false" customHeight="true" outlineLevel="0" collapsed="false">
      <c r="A630" s="10"/>
      <c r="B630" s="10"/>
    </row>
    <row r="631" customFormat="false" ht="15.75" hidden="false" customHeight="true" outlineLevel="0" collapsed="false">
      <c r="A631" s="10"/>
      <c r="B631" s="10"/>
    </row>
    <row r="632" customFormat="false" ht="15.75" hidden="false" customHeight="true" outlineLevel="0" collapsed="false">
      <c r="A632" s="10"/>
      <c r="B632" s="10"/>
    </row>
    <row r="633" customFormat="false" ht="15.75" hidden="false" customHeight="true" outlineLevel="0" collapsed="false">
      <c r="A633" s="10"/>
      <c r="B633" s="10"/>
    </row>
    <row r="634" customFormat="false" ht="15.75" hidden="false" customHeight="true" outlineLevel="0" collapsed="false">
      <c r="A634" s="10"/>
      <c r="B634" s="10"/>
    </row>
    <row r="635" customFormat="false" ht="15.75" hidden="false" customHeight="true" outlineLevel="0" collapsed="false">
      <c r="A635" s="10"/>
      <c r="B635" s="10"/>
    </row>
    <row r="636" customFormat="false" ht="15.75" hidden="false" customHeight="true" outlineLevel="0" collapsed="false">
      <c r="A636" s="10"/>
      <c r="B636" s="10"/>
    </row>
    <row r="637" customFormat="false" ht="15.75" hidden="false" customHeight="true" outlineLevel="0" collapsed="false">
      <c r="A637" s="10"/>
      <c r="B637" s="10"/>
    </row>
    <row r="638" customFormat="false" ht="15.75" hidden="false" customHeight="true" outlineLevel="0" collapsed="false">
      <c r="A638" s="10"/>
      <c r="B638" s="10"/>
    </row>
    <row r="639" customFormat="false" ht="15.75" hidden="false" customHeight="true" outlineLevel="0" collapsed="false">
      <c r="A639" s="10"/>
      <c r="B639" s="10"/>
    </row>
    <row r="640" customFormat="false" ht="15.75" hidden="false" customHeight="true" outlineLevel="0" collapsed="false">
      <c r="A640" s="10"/>
      <c r="B640" s="10"/>
    </row>
    <row r="641" customFormat="false" ht="15.75" hidden="false" customHeight="true" outlineLevel="0" collapsed="false">
      <c r="A641" s="10"/>
      <c r="B641" s="10"/>
    </row>
    <row r="642" customFormat="false" ht="15.75" hidden="false" customHeight="true" outlineLevel="0" collapsed="false">
      <c r="A642" s="10"/>
      <c r="B642" s="10"/>
    </row>
    <row r="643" customFormat="false" ht="15.75" hidden="false" customHeight="true" outlineLevel="0" collapsed="false">
      <c r="A643" s="10"/>
      <c r="B643" s="10"/>
    </row>
    <row r="644" customFormat="false" ht="15.75" hidden="false" customHeight="true" outlineLevel="0" collapsed="false">
      <c r="A644" s="10"/>
      <c r="B644" s="10"/>
    </row>
    <row r="645" customFormat="false" ht="15.75" hidden="false" customHeight="true" outlineLevel="0" collapsed="false">
      <c r="A645" s="10"/>
      <c r="B645" s="10"/>
    </row>
    <row r="646" customFormat="false" ht="15.75" hidden="false" customHeight="true" outlineLevel="0" collapsed="false">
      <c r="A646" s="10"/>
      <c r="B646" s="10"/>
    </row>
    <row r="647" customFormat="false" ht="15.75" hidden="false" customHeight="true" outlineLevel="0" collapsed="false">
      <c r="A647" s="10"/>
      <c r="B647" s="10"/>
    </row>
    <row r="648" customFormat="false" ht="15.75" hidden="false" customHeight="true" outlineLevel="0" collapsed="false">
      <c r="A648" s="10"/>
      <c r="B648" s="10"/>
    </row>
    <row r="649" customFormat="false" ht="15.75" hidden="false" customHeight="true" outlineLevel="0" collapsed="false">
      <c r="A649" s="10"/>
      <c r="B649" s="10"/>
    </row>
    <row r="650" customFormat="false" ht="15.75" hidden="false" customHeight="true" outlineLevel="0" collapsed="false">
      <c r="A650" s="10"/>
      <c r="B650" s="10"/>
    </row>
    <row r="651" customFormat="false" ht="15.75" hidden="false" customHeight="true" outlineLevel="0" collapsed="false">
      <c r="A651" s="10"/>
      <c r="B651" s="10"/>
    </row>
    <row r="652" customFormat="false" ht="15.75" hidden="false" customHeight="true" outlineLevel="0" collapsed="false">
      <c r="A652" s="10"/>
      <c r="B652" s="10"/>
    </row>
    <row r="653" customFormat="false" ht="15.75" hidden="false" customHeight="true" outlineLevel="0" collapsed="false">
      <c r="A653" s="10"/>
      <c r="B653" s="10"/>
    </row>
    <row r="654" customFormat="false" ht="15.75" hidden="false" customHeight="true" outlineLevel="0" collapsed="false">
      <c r="A654" s="10"/>
      <c r="B654" s="10"/>
    </row>
    <row r="655" customFormat="false" ht="15.75" hidden="false" customHeight="true" outlineLevel="0" collapsed="false">
      <c r="A655" s="10"/>
      <c r="B655" s="10"/>
    </row>
    <row r="656" customFormat="false" ht="15.75" hidden="false" customHeight="true" outlineLevel="0" collapsed="false">
      <c r="A656" s="10"/>
      <c r="B656" s="10"/>
    </row>
    <row r="657" customFormat="false" ht="15.75" hidden="false" customHeight="true" outlineLevel="0" collapsed="false">
      <c r="A657" s="10"/>
      <c r="B657" s="10"/>
    </row>
    <row r="658" customFormat="false" ht="15.75" hidden="false" customHeight="true" outlineLevel="0" collapsed="false">
      <c r="A658" s="10"/>
      <c r="B658" s="10"/>
    </row>
    <row r="659" customFormat="false" ht="15.75" hidden="false" customHeight="true" outlineLevel="0" collapsed="false">
      <c r="A659" s="10"/>
      <c r="B659" s="10"/>
    </row>
    <row r="660" customFormat="false" ht="15.75" hidden="false" customHeight="true" outlineLevel="0" collapsed="false">
      <c r="A660" s="10"/>
      <c r="B660" s="10"/>
    </row>
    <row r="661" customFormat="false" ht="15.75" hidden="false" customHeight="true" outlineLevel="0" collapsed="false">
      <c r="A661" s="10"/>
      <c r="B661" s="10"/>
    </row>
    <row r="662" customFormat="false" ht="15.75" hidden="false" customHeight="true" outlineLevel="0" collapsed="false">
      <c r="A662" s="10"/>
      <c r="B662" s="10"/>
    </row>
    <row r="663" customFormat="false" ht="15.75" hidden="false" customHeight="true" outlineLevel="0" collapsed="false">
      <c r="A663" s="10"/>
      <c r="B663" s="10"/>
    </row>
    <row r="664" customFormat="false" ht="15.75" hidden="false" customHeight="true" outlineLevel="0" collapsed="false">
      <c r="A664" s="10"/>
      <c r="B664" s="10"/>
    </row>
    <row r="665" customFormat="false" ht="15.75" hidden="false" customHeight="true" outlineLevel="0" collapsed="false">
      <c r="A665" s="10"/>
      <c r="B665" s="10"/>
    </row>
    <row r="666" customFormat="false" ht="15.75" hidden="false" customHeight="true" outlineLevel="0" collapsed="false">
      <c r="A666" s="10"/>
      <c r="B666" s="10"/>
    </row>
    <row r="667" customFormat="false" ht="15.75" hidden="false" customHeight="true" outlineLevel="0" collapsed="false">
      <c r="A667" s="10"/>
      <c r="B667" s="10"/>
    </row>
    <row r="668" customFormat="false" ht="15.75" hidden="false" customHeight="true" outlineLevel="0" collapsed="false">
      <c r="A668" s="10"/>
      <c r="B668" s="10"/>
    </row>
    <row r="669" customFormat="false" ht="15.75" hidden="false" customHeight="true" outlineLevel="0" collapsed="false">
      <c r="A669" s="10"/>
      <c r="B669" s="10"/>
    </row>
    <row r="670" customFormat="false" ht="15.75" hidden="false" customHeight="true" outlineLevel="0" collapsed="false">
      <c r="A670" s="10"/>
      <c r="B670" s="10"/>
    </row>
    <row r="671" customFormat="false" ht="15.75" hidden="false" customHeight="true" outlineLevel="0" collapsed="false">
      <c r="A671" s="10"/>
      <c r="B671" s="10"/>
    </row>
    <row r="672" customFormat="false" ht="15.75" hidden="false" customHeight="true" outlineLevel="0" collapsed="false">
      <c r="A672" s="10"/>
      <c r="B672" s="10"/>
    </row>
    <row r="673" customFormat="false" ht="15.75" hidden="false" customHeight="true" outlineLevel="0" collapsed="false">
      <c r="A673" s="10"/>
      <c r="B673" s="10"/>
    </row>
    <row r="674" customFormat="false" ht="15.75" hidden="false" customHeight="true" outlineLevel="0" collapsed="false">
      <c r="A674" s="10"/>
      <c r="B674" s="10"/>
    </row>
    <row r="675" customFormat="false" ht="15.75" hidden="false" customHeight="true" outlineLevel="0" collapsed="false">
      <c r="A675" s="10"/>
      <c r="B675" s="10"/>
    </row>
    <row r="676" customFormat="false" ht="15.75" hidden="false" customHeight="true" outlineLevel="0" collapsed="false">
      <c r="A676" s="10"/>
      <c r="B676" s="10"/>
    </row>
    <row r="677" customFormat="false" ht="15.75" hidden="false" customHeight="true" outlineLevel="0" collapsed="false">
      <c r="A677" s="10"/>
      <c r="B677" s="10"/>
    </row>
    <row r="678" customFormat="false" ht="15.75" hidden="false" customHeight="true" outlineLevel="0" collapsed="false">
      <c r="A678" s="10"/>
      <c r="B678" s="10"/>
    </row>
    <row r="679" customFormat="false" ht="15.75" hidden="false" customHeight="true" outlineLevel="0" collapsed="false">
      <c r="A679" s="10"/>
      <c r="B679" s="10"/>
    </row>
    <row r="680" customFormat="false" ht="15.75" hidden="false" customHeight="true" outlineLevel="0" collapsed="false">
      <c r="A680" s="10"/>
      <c r="B680" s="10"/>
    </row>
    <row r="681" customFormat="false" ht="15.75" hidden="false" customHeight="true" outlineLevel="0" collapsed="false">
      <c r="A681" s="10"/>
      <c r="B681" s="10"/>
    </row>
    <row r="682" customFormat="false" ht="15.75" hidden="false" customHeight="true" outlineLevel="0" collapsed="false">
      <c r="A682" s="10"/>
      <c r="B682" s="10"/>
    </row>
    <row r="683" customFormat="false" ht="15.75" hidden="false" customHeight="true" outlineLevel="0" collapsed="false">
      <c r="A683" s="10"/>
      <c r="B683" s="10"/>
    </row>
    <row r="684" customFormat="false" ht="15.75" hidden="false" customHeight="true" outlineLevel="0" collapsed="false">
      <c r="A684" s="10"/>
      <c r="B684" s="10"/>
    </row>
    <row r="685" customFormat="false" ht="15.75" hidden="false" customHeight="true" outlineLevel="0" collapsed="false">
      <c r="A685" s="10"/>
      <c r="B685" s="10"/>
    </row>
    <row r="686" customFormat="false" ht="15.75" hidden="false" customHeight="true" outlineLevel="0" collapsed="false">
      <c r="A686" s="10"/>
      <c r="B686" s="10"/>
    </row>
    <row r="687" customFormat="false" ht="15.75" hidden="false" customHeight="true" outlineLevel="0" collapsed="false">
      <c r="A687" s="10"/>
      <c r="B687" s="10"/>
    </row>
    <row r="688" customFormat="false" ht="15.75" hidden="false" customHeight="true" outlineLevel="0" collapsed="false">
      <c r="A688" s="10"/>
      <c r="B688" s="10"/>
    </row>
    <row r="689" customFormat="false" ht="15.75" hidden="false" customHeight="true" outlineLevel="0" collapsed="false">
      <c r="A689" s="10"/>
      <c r="B689" s="10"/>
    </row>
    <row r="690" customFormat="false" ht="15.75" hidden="false" customHeight="true" outlineLevel="0" collapsed="false">
      <c r="A690" s="10"/>
      <c r="B690" s="10"/>
    </row>
    <row r="691" customFormat="false" ht="15.75" hidden="false" customHeight="true" outlineLevel="0" collapsed="false">
      <c r="A691" s="10"/>
      <c r="B691" s="10"/>
    </row>
    <row r="692" customFormat="false" ht="15.75" hidden="false" customHeight="true" outlineLevel="0" collapsed="false">
      <c r="A692" s="10"/>
      <c r="B692" s="10"/>
    </row>
    <row r="693" customFormat="false" ht="15.75" hidden="false" customHeight="true" outlineLevel="0" collapsed="false">
      <c r="A693" s="10"/>
      <c r="B693" s="10"/>
    </row>
    <row r="694" customFormat="false" ht="15.75" hidden="false" customHeight="true" outlineLevel="0" collapsed="false">
      <c r="A694" s="10"/>
      <c r="B694" s="10"/>
    </row>
    <row r="695" customFormat="false" ht="15.75" hidden="false" customHeight="true" outlineLevel="0" collapsed="false">
      <c r="A695" s="10"/>
      <c r="B695" s="10"/>
    </row>
    <row r="696" customFormat="false" ht="15.75" hidden="false" customHeight="true" outlineLevel="0" collapsed="false">
      <c r="A696" s="10"/>
      <c r="B696" s="10"/>
    </row>
    <row r="697" customFormat="false" ht="15.75" hidden="false" customHeight="true" outlineLevel="0" collapsed="false">
      <c r="A697" s="10"/>
      <c r="B697" s="10"/>
    </row>
    <row r="698" customFormat="false" ht="15.75" hidden="false" customHeight="true" outlineLevel="0" collapsed="false">
      <c r="A698" s="10"/>
      <c r="B698" s="10"/>
    </row>
    <row r="699" customFormat="false" ht="15.75" hidden="false" customHeight="true" outlineLevel="0" collapsed="false">
      <c r="A699" s="10"/>
      <c r="B699" s="10"/>
    </row>
    <row r="700" customFormat="false" ht="15.75" hidden="false" customHeight="true" outlineLevel="0" collapsed="false">
      <c r="A700" s="10"/>
      <c r="B700" s="10"/>
    </row>
    <row r="701" customFormat="false" ht="15.75" hidden="false" customHeight="true" outlineLevel="0" collapsed="false">
      <c r="A701" s="10"/>
      <c r="B701" s="10"/>
    </row>
    <row r="702" customFormat="false" ht="15.75" hidden="false" customHeight="true" outlineLevel="0" collapsed="false">
      <c r="A702" s="10"/>
      <c r="B702" s="10"/>
    </row>
    <row r="703" customFormat="false" ht="15.75" hidden="false" customHeight="true" outlineLevel="0" collapsed="false">
      <c r="A703" s="10"/>
      <c r="B703" s="10"/>
    </row>
    <row r="704" customFormat="false" ht="15.75" hidden="false" customHeight="true" outlineLevel="0" collapsed="false">
      <c r="A704" s="10"/>
      <c r="B704" s="10"/>
    </row>
    <row r="705" customFormat="false" ht="15.75" hidden="false" customHeight="true" outlineLevel="0" collapsed="false">
      <c r="A705" s="10"/>
      <c r="B705" s="10"/>
    </row>
    <row r="706" customFormat="false" ht="15.75" hidden="false" customHeight="true" outlineLevel="0" collapsed="false">
      <c r="A706" s="10"/>
      <c r="B706" s="10"/>
    </row>
    <row r="707" customFormat="false" ht="15.75" hidden="false" customHeight="true" outlineLevel="0" collapsed="false">
      <c r="A707" s="10"/>
      <c r="B707" s="10"/>
    </row>
    <row r="708" customFormat="false" ht="15.75" hidden="false" customHeight="true" outlineLevel="0" collapsed="false">
      <c r="A708" s="10"/>
      <c r="B708" s="10"/>
    </row>
    <row r="709" customFormat="false" ht="15.75" hidden="false" customHeight="true" outlineLevel="0" collapsed="false">
      <c r="A709" s="10"/>
      <c r="B709" s="10"/>
    </row>
    <row r="710" customFormat="false" ht="15.75" hidden="false" customHeight="true" outlineLevel="0" collapsed="false">
      <c r="A710" s="10"/>
      <c r="B710" s="10"/>
    </row>
    <row r="711" customFormat="false" ht="15.75" hidden="false" customHeight="true" outlineLevel="0" collapsed="false">
      <c r="A711" s="10"/>
      <c r="B711" s="10"/>
    </row>
    <row r="712" customFormat="false" ht="15.75" hidden="false" customHeight="true" outlineLevel="0" collapsed="false">
      <c r="A712" s="10"/>
      <c r="B712" s="10"/>
    </row>
    <row r="713" customFormat="false" ht="15.75" hidden="false" customHeight="true" outlineLevel="0" collapsed="false">
      <c r="A713" s="10"/>
      <c r="B713" s="10"/>
    </row>
    <row r="714" customFormat="false" ht="15.75" hidden="false" customHeight="true" outlineLevel="0" collapsed="false">
      <c r="A714" s="10"/>
      <c r="B714" s="10"/>
    </row>
    <row r="715" customFormat="false" ht="15.75" hidden="false" customHeight="true" outlineLevel="0" collapsed="false">
      <c r="A715" s="10"/>
      <c r="B715" s="10"/>
    </row>
    <row r="716" customFormat="false" ht="15.75" hidden="false" customHeight="true" outlineLevel="0" collapsed="false">
      <c r="A716" s="10"/>
      <c r="B716" s="10"/>
    </row>
    <row r="717" customFormat="false" ht="15.75" hidden="false" customHeight="true" outlineLevel="0" collapsed="false">
      <c r="A717" s="10"/>
      <c r="B717" s="10"/>
    </row>
    <row r="718" customFormat="false" ht="15.75" hidden="false" customHeight="true" outlineLevel="0" collapsed="false">
      <c r="A718" s="10"/>
      <c r="B718" s="10"/>
    </row>
    <row r="719" customFormat="false" ht="15.75" hidden="false" customHeight="true" outlineLevel="0" collapsed="false">
      <c r="A719" s="10"/>
      <c r="B719" s="10"/>
    </row>
    <row r="720" customFormat="false" ht="15.75" hidden="false" customHeight="true" outlineLevel="0" collapsed="false">
      <c r="A720" s="10"/>
      <c r="B720" s="10"/>
    </row>
    <row r="721" customFormat="false" ht="15.75" hidden="false" customHeight="true" outlineLevel="0" collapsed="false">
      <c r="A721" s="10"/>
      <c r="B721" s="10"/>
    </row>
    <row r="722" customFormat="false" ht="15.75" hidden="false" customHeight="true" outlineLevel="0" collapsed="false">
      <c r="A722" s="10"/>
      <c r="B722" s="10"/>
    </row>
    <row r="723" customFormat="false" ht="15.75" hidden="false" customHeight="true" outlineLevel="0" collapsed="false">
      <c r="A723" s="10"/>
      <c r="B723" s="10"/>
    </row>
    <row r="724" customFormat="false" ht="15.75" hidden="false" customHeight="true" outlineLevel="0" collapsed="false">
      <c r="A724" s="10"/>
      <c r="B724" s="10"/>
    </row>
    <row r="725" customFormat="false" ht="15.75" hidden="false" customHeight="true" outlineLevel="0" collapsed="false">
      <c r="A725" s="10"/>
      <c r="B725" s="10"/>
    </row>
    <row r="726" customFormat="false" ht="15.75" hidden="false" customHeight="true" outlineLevel="0" collapsed="false">
      <c r="A726" s="10"/>
      <c r="B726" s="10"/>
    </row>
    <row r="727" customFormat="false" ht="15.75" hidden="false" customHeight="true" outlineLevel="0" collapsed="false">
      <c r="A727" s="10"/>
      <c r="B727" s="10"/>
    </row>
    <row r="728" customFormat="false" ht="15.75" hidden="false" customHeight="true" outlineLevel="0" collapsed="false">
      <c r="A728" s="10"/>
      <c r="B728" s="10"/>
    </row>
    <row r="729" customFormat="false" ht="15.75" hidden="false" customHeight="true" outlineLevel="0" collapsed="false">
      <c r="A729" s="10"/>
      <c r="B729" s="10"/>
    </row>
    <row r="730" customFormat="false" ht="15.75" hidden="false" customHeight="true" outlineLevel="0" collapsed="false">
      <c r="A730" s="10"/>
      <c r="B730" s="10"/>
    </row>
    <row r="731" customFormat="false" ht="15.75" hidden="false" customHeight="true" outlineLevel="0" collapsed="false">
      <c r="A731" s="10"/>
      <c r="B731" s="10"/>
    </row>
    <row r="732" customFormat="false" ht="15.75" hidden="false" customHeight="true" outlineLevel="0" collapsed="false">
      <c r="A732" s="10"/>
      <c r="B732" s="10"/>
    </row>
    <row r="733" customFormat="false" ht="15.75" hidden="false" customHeight="true" outlineLevel="0" collapsed="false">
      <c r="A733" s="10"/>
      <c r="B733" s="10"/>
    </row>
    <row r="734" customFormat="false" ht="15.75" hidden="false" customHeight="true" outlineLevel="0" collapsed="false">
      <c r="A734" s="10"/>
      <c r="B734" s="10"/>
    </row>
    <row r="735" customFormat="false" ht="15.75" hidden="false" customHeight="true" outlineLevel="0" collapsed="false">
      <c r="A735" s="10"/>
      <c r="B735" s="10"/>
    </row>
    <row r="736" customFormat="false" ht="15.75" hidden="false" customHeight="true" outlineLevel="0" collapsed="false">
      <c r="A736" s="10"/>
      <c r="B736" s="10"/>
    </row>
    <row r="737" customFormat="false" ht="15.75" hidden="false" customHeight="true" outlineLevel="0" collapsed="false">
      <c r="A737" s="10"/>
      <c r="B737" s="10"/>
    </row>
    <row r="738" customFormat="false" ht="15.75" hidden="false" customHeight="true" outlineLevel="0" collapsed="false">
      <c r="A738" s="10"/>
      <c r="B738" s="10"/>
    </row>
    <row r="739" customFormat="false" ht="15.75" hidden="false" customHeight="true" outlineLevel="0" collapsed="false">
      <c r="A739" s="10"/>
      <c r="B739" s="10"/>
    </row>
    <row r="740" customFormat="false" ht="15.75" hidden="false" customHeight="true" outlineLevel="0" collapsed="false">
      <c r="A740" s="10"/>
      <c r="B740" s="10"/>
    </row>
    <row r="741" customFormat="false" ht="15.75" hidden="false" customHeight="true" outlineLevel="0" collapsed="false">
      <c r="A741" s="10"/>
      <c r="B741" s="10"/>
    </row>
    <row r="742" customFormat="false" ht="15.75" hidden="false" customHeight="true" outlineLevel="0" collapsed="false">
      <c r="A742" s="10"/>
      <c r="B742" s="10"/>
    </row>
    <row r="743" customFormat="false" ht="15.75" hidden="false" customHeight="true" outlineLevel="0" collapsed="false">
      <c r="A743" s="10"/>
      <c r="B743" s="10"/>
    </row>
    <row r="744" customFormat="false" ht="15.75" hidden="false" customHeight="true" outlineLevel="0" collapsed="false">
      <c r="A744" s="10"/>
      <c r="B744" s="10"/>
    </row>
    <row r="745" customFormat="false" ht="15.75" hidden="false" customHeight="true" outlineLevel="0" collapsed="false">
      <c r="A745" s="10"/>
      <c r="B745" s="10"/>
    </row>
    <row r="746" customFormat="false" ht="15.75" hidden="false" customHeight="true" outlineLevel="0" collapsed="false">
      <c r="A746" s="10"/>
      <c r="B746" s="10"/>
    </row>
    <row r="747" customFormat="false" ht="15.75" hidden="false" customHeight="true" outlineLevel="0" collapsed="false">
      <c r="A747" s="10"/>
      <c r="B747" s="10"/>
    </row>
    <row r="748" customFormat="false" ht="15.75" hidden="false" customHeight="true" outlineLevel="0" collapsed="false">
      <c r="A748" s="10"/>
      <c r="B748" s="10"/>
    </row>
    <row r="749" customFormat="false" ht="15.75" hidden="false" customHeight="true" outlineLevel="0" collapsed="false">
      <c r="A749" s="10"/>
      <c r="B749" s="10"/>
    </row>
    <row r="750" customFormat="false" ht="15.75" hidden="false" customHeight="true" outlineLevel="0" collapsed="false">
      <c r="A750" s="10"/>
      <c r="B750" s="10"/>
    </row>
    <row r="751" customFormat="false" ht="15.75" hidden="false" customHeight="true" outlineLevel="0" collapsed="false">
      <c r="A751" s="10"/>
      <c r="B751" s="10"/>
    </row>
    <row r="752" customFormat="false" ht="15.75" hidden="false" customHeight="true" outlineLevel="0" collapsed="false">
      <c r="A752" s="10"/>
      <c r="B752" s="10"/>
    </row>
    <row r="753" customFormat="false" ht="15.75" hidden="false" customHeight="true" outlineLevel="0" collapsed="false">
      <c r="A753" s="10"/>
      <c r="B753" s="10"/>
    </row>
    <row r="754" customFormat="false" ht="15.75" hidden="false" customHeight="true" outlineLevel="0" collapsed="false">
      <c r="A754" s="10"/>
      <c r="B754" s="10"/>
    </row>
    <row r="755" customFormat="false" ht="15.75" hidden="false" customHeight="true" outlineLevel="0" collapsed="false">
      <c r="A755" s="10"/>
      <c r="B755" s="10"/>
    </row>
    <row r="756" customFormat="false" ht="15.75" hidden="false" customHeight="true" outlineLevel="0" collapsed="false">
      <c r="A756" s="10"/>
      <c r="B756" s="10"/>
    </row>
    <row r="757" customFormat="false" ht="15.75" hidden="false" customHeight="true" outlineLevel="0" collapsed="false">
      <c r="A757" s="10"/>
      <c r="B757" s="10"/>
    </row>
    <row r="758" customFormat="false" ht="15.75" hidden="false" customHeight="true" outlineLevel="0" collapsed="false">
      <c r="A758" s="10"/>
      <c r="B758" s="10"/>
    </row>
    <row r="759" customFormat="false" ht="15.75" hidden="false" customHeight="true" outlineLevel="0" collapsed="false">
      <c r="A759" s="10"/>
      <c r="B759" s="10"/>
    </row>
    <row r="760" customFormat="false" ht="15.75" hidden="false" customHeight="true" outlineLevel="0" collapsed="false">
      <c r="A760" s="10"/>
      <c r="B760" s="10"/>
    </row>
    <row r="761" customFormat="false" ht="15.75" hidden="false" customHeight="true" outlineLevel="0" collapsed="false">
      <c r="A761" s="10"/>
      <c r="B761" s="10"/>
    </row>
    <row r="762" customFormat="false" ht="15.75" hidden="false" customHeight="true" outlineLevel="0" collapsed="false">
      <c r="A762" s="10"/>
      <c r="B762" s="10"/>
    </row>
    <row r="763" customFormat="false" ht="15.75" hidden="false" customHeight="true" outlineLevel="0" collapsed="false">
      <c r="A763" s="10"/>
      <c r="B763" s="10"/>
    </row>
    <row r="764" customFormat="false" ht="15.75" hidden="false" customHeight="true" outlineLevel="0" collapsed="false">
      <c r="A764" s="10"/>
      <c r="B764" s="10"/>
    </row>
    <row r="765" customFormat="false" ht="15.75" hidden="false" customHeight="true" outlineLevel="0" collapsed="false">
      <c r="A765" s="10"/>
      <c r="B765" s="10"/>
    </row>
    <row r="766" customFormat="false" ht="15.75" hidden="false" customHeight="true" outlineLevel="0" collapsed="false">
      <c r="A766" s="10"/>
      <c r="B766" s="10"/>
    </row>
    <row r="767" customFormat="false" ht="15.75" hidden="false" customHeight="true" outlineLevel="0" collapsed="false">
      <c r="A767" s="10"/>
      <c r="B767" s="10"/>
    </row>
    <row r="768" customFormat="false" ht="15.75" hidden="false" customHeight="true" outlineLevel="0" collapsed="false">
      <c r="A768" s="10"/>
      <c r="B768" s="10"/>
    </row>
    <row r="769" customFormat="false" ht="15.75" hidden="false" customHeight="true" outlineLevel="0" collapsed="false">
      <c r="A769" s="10"/>
      <c r="B769" s="10"/>
    </row>
    <row r="770" customFormat="false" ht="15.75" hidden="false" customHeight="true" outlineLevel="0" collapsed="false">
      <c r="A770" s="10"/>
      <c r="B770" s="10"/>
    </row>
    <row r="771" customFormat="false" ht="15.75" hidden="false" customHeight="true" outlineLevel="0" collapsed="false">
      <c r="A771" s="10"/>
      <c r="B771" s="10"/>
    </row>
    <row r="772" customFormat="false" ht="15.75" hidden="false" customHeight="true" outlineLevel="0" collapsed="false">
      <c r="A772" s="10"/>
      <c r="B772" s="10"/>
    </row>
    <row r="773" customFormat="false" ht="15.75" hidden="false" customHeight="true" outlineLevel="0" collapsed="false">
      <c r="A773" s="10"/>
      <c r="B773" s="10"/>
    </row>
    <row r="774" customFormat="false" ht="15.75" hidden="false" customHeight="true" outlineLevel="0" collapsed="false">
      <c r="A774" s="10"/>
      <c r="B774" s="10"/>
    </row>
    <row r="775" customFormat="false" ht="15.75" hidden="false" customHeight="true" outlineLevel="0" collapsed="false">
      <c r="A775" s="10"/>
      <c r="B775" s="10"/>
    </row>
    <row r="776" customFormat="false" ht="15.75" hidden="false" customHeight="true" outlineLevel="0" collapsed="false">
      <c r="A776" s="10"/>
      <c r="B776" s="10"/>
    </row>
    <row r="777" customFormat="false" ht="15.75" hidden="false" customHeight="true" outlineLevel="0" collapsed="false">
      <c r="A777" s="10"/>
      <c r="B777" s="10"/>
    </row>
    <row r="778" customFormat="false" ht="15.75" hidden="false" customHeight="true" outlineLevel="0" collapsed="false">
      <c r="A778" s="10"/>
      <c r="B778" s="10"/>
    </row>
    <row r="779" customFormat="false" ht="15.75" hidden="false" customHeight="true" outlineLevel="0" collapsed="false">
      <c r="A779" s="10"/>
      <c r="B779" s="10"/>
    </row>
    <row r="780" customFormat="false" ht="15.75" hidden="false" customHeight="true" outlineLevel="0" collapsed="false">
      <c r="A780" s="10"/>
      <c r="B780" s="10"/>
    </row>
    <row r="781" customFormat="false" ht="15.75" hidden="false" customHeight="true" outlineLevel="0" collapsed="false">
      <c r="A781" s="10"/>
      <c r="B781" s="10"/>
    </row>
    <row r="782" customFormat="false" ht="15.75" hidden="false" customHeight="true" outlineLevel="0" collapsed="false">
      <c r="A782" s="10"/>
      <c r="B782" s="10"/>
    </row>
    <row r="783" customFormat="false" ht="15.75" hidden="false" customHeight="true" outlineLevel="0" collapsed="false">
      <c r="A783" s="10"/>
      <c r="B783" s="10"/>
    </row>
    <row r="784" customFormat="false" ht="15.75" hidden="false" customHeight="true" outlineLevel="0" collapsed="false">
      <c r="A784" s="10"/>
      <c r="B784" s="10"/>
    </row>
    <row r="785" customFormat="false" ht="15.75" hidden="false" customHeight="true" outlineLevel="0" collapsed="false">
      <c r="A785" s="10"/>
      <c r="B785" s="10"/>
    </row>
    <row r="786" customFormat="false" ht="15.75" hidden="false" customHeight="true" outlineLevel="0" collapsed="false">
      <c r="A786" s="10"/>
      <c r="B786" s="10"/>
    </row>
    <row r="787" customFormat="false" ht="15.75" hidden="false" customHeight="true" outlineLevel="0" collapsed="false">
      <c r="A787" s="10"/>
      <c r="B787" s="10"/>
    </row>
    <row r="788" customFormat="false" ht="15.75" hidden="false" customHeight="true" outlineLevel="0" collapsed="false">
      <c r="A788" s="10"/>
      <c r="B788" s="10"/>
    </row>
    <row r="789" customFormat="false" ht="15.75" hidden="false" customHeight="true" outlineLevel="0" collapsed="false">
      <c r="A789" s="10"/>
      <c r="B789" s="10"/>
    </row>
    <row r="790" customFormat="false" ht="15.75" hidden="false" customHeight="true" outlineLevel="0" collapsed="false">
      <c r="A790" s="10"/>
      <c r="B790" s="10"/>
    </row>
    <row r="791" customFormat="false" ht="15.75" hidden="false" customHeight="true" outlineLevel="0" collapsed="false">
      <c r="A791" s="10"/>
      <c r="B791" s="10"/>
    </row>
    <row r="792" customFormat="false" ht="15.75" hidden="false" customHeight="true" outlineLevel="0" collapsed="false">
      <c r="A792" s="10"/>
      <c r="B792" s="10"/>
    </row>
    <row r="793" customFormat="false" ht="15.75" hidden="false" customHeight="true" outlineLevel="0" collapsed="false">
      <c r="A793" s="10"/>
      <c r="B793" s="10"/>
    </row>
    <row r="794" customFormat="false" ht="15.75" hidden="false" customHeight="true" outlineLevel="0" collapsed="false">
      <c r="A794" s="10"/>
      <c r="B794" s="10"/>
    </row>
    <row r="795" customFormat="false" ht="15.75" hidden="false" customHeight="true" outlineLevel="0" collapsed="false">
      <c r="A795" s="10"/>
      <c r="B795" s="10"/>
    </row>
    <row r="796" customFormat="false" ht="15.75" hidden="false" customHeight="true" outlineLevel="0" collapsed="false">
      <c r="A796" s="10"/>
      <c r="B796" s="10"/>
    </row>
    <row r="797" customFormat="false" ht="15.75" hidden="false" customHeight="true" outlineLevel="0" collapsed="false">
      <c r="A797" s="10"/>
      <c r="B797" s="10"/>
    </row>
    <row r="798" customFormat="false" ht="15.75" hidden="false" customHeight="true" outlineLevel="0" collapsed="false">
      <c r="A798" s="10"/>
      <c r="B798" s="10"/>
    </row>
    <row r="799" customFormat="false" ht="15.75" hidden="false" customHeight="true" outlineLevel="0" collapsed="false">
      <c r="A799" s="10"/>
      <c r="B799" s="10"/>
    </row>
    <row r="800" customFormat="false" ht="15.75" hidden="false" customHeight="true" outlineLevel="0" collapsed="false">
      <c r="A800" s="10"/>
      <c r="B800" s="10"/>
    </row>
    <row r="801" customFormat="false" ht="15.75" hidden="false" customHeight="true" outlineLevel="0" collapsed="false">
      <c r="A801" s="10"/>
      <c r="B801" s="10"/>
    </row>
    <row r="802" customFormat="false" ht="15.75" hidden="false" customHeight="true" outlineLevel="0" collapsed="false">
      <c r="A802" s="10"/>
      <c r="B802" s="10"/>
    </row>
    <row r="803" customFormat="false" ht="15.75" hidden="false" customHeight="true" outlineLevel="0" collapsed="false">
      <c r="A803" s="10"/>
      <c r="B803" s="10"/>
    </row>
    <row r="804" customFormat="false" ht="15.75" hidden="false" customHeight="true" outlineLevel="0" collapsed="false">
      <c r="A804" s="10"/>
      <c r="B804" s="10"/>
    </row>
    <row r="805" customFormat="false" ht="15.75" hidden="false" customHeight="true" outlineLevel="0" collapsed="false">
      <c r="A805" s="10"/>
      <c r="B805" s="10"/>
    </row>
    <row r="806" customFormat="false" ht="15.75" hidden="false" customHeight="true" outlineLevel="0" collapsed="false">
      <c r="A806" s="10"/>
      <c r="B806" s="10"/>
    </row>
    <row r="807" customFormat="false" ht="15.75" hidden="false" customHeight="true" outlineLevel="0" collapsed="false">
      <c r="A807" s="10"/>
      <c r="B807" s="10"/>
    </row>
    <row r="808" customFormat="false" ht="15.75" hidden="false" customHeight="true" outlineLevel="0" collapsed="false">
      <c r="A808" s="10"/>
      <c r="B808" s="10"/>
    </row>
    <row r="809" customFormat="false" ht="15.75" hidden="false" customHeight="true" outlineLevel="0" collapsed="false">
      <c r="A809" s="10"/>
      <c r="B809" s="10"/>
    </row>
    <row r="810" customFormat="false" ht="15.75" hidden="false" customHeight="true" outlineLevel="0" collapsed="false">
      <c r="A810" s="10"/>
      <c r="B810" s="10"/>
    </row>
    <row r="811" customFormat="false" ht="15.75" hidden="false" customHeight="true" outlineLevel="0" collapsed="false">
      <c r="A811" s="10"/>
      <c r="B811" s="10"/>
    </row>
    <row r="812" customFormat="false" ht="15.75" hidden="false" customHeight="true" outlineLevel="0" collapsed="false">
      <c r="A812" s="10"/>
      <c r="B812" s="10"/>
    </row>
    <row r="813" customFormat="false" ht="15.75" hidden="false" customHeight="true" outlineLevel="0" collapsed="false">
      <c r="A813" s="10"/>
      <c r="B813" s="10"/>
    </row>
    <row r="814" customFormat="false" ht="15.75" hidden="false" customHeight="true" outlineLevel="0" collapsed="false">
      <c r="A814" s="10"/>
      <c r="B814" s="10"/>
    </row>
    <row r="815" customFormat="false" ht="15.75" hidden="false" customHeight="true" outlineLevel="0" collapsed="false">
      <c r="A815" s="10"/>
      <c r="B815" s="10"/>
    </row>
    <row r="816" customFormat="false" ht="15.75" hidden="false" customHeight="true" outlineLevel="0" collapsed="false">
      <c r="A816" s="10"/>
      <c r="B816" s="10"/>
    </row>
    <row r="817" customFormat="false" ht="15.75" hidden="false" customHeight="true" outlineLevel="0" collapsed="false">
      <c r="A817" s="10"/>
      <c r="B817" s="10"/>
    </row>
    <row r="818" customFormat="false" ht="15.75" hidden="false" customHeight="true" outlineLevel="0" collapsed="false">
      <c r="A818" s="10"/>
      <c r="B818" s="10"/>
    </row>
    <row r="819" customFormat="false" ht="15.75" hidden="false" customHeight="true" outlineLevel="0" collapsed="false">
      <c r="A819" s="10"/>
      <c r="B819" s="10"/>
    </row>
    <row r="820" customFormat="false" ht="15.75" hidden="false" customHeight="true" outlineLevel="0" collapsed="false">
      <c r="A820" s="10"/>
      <c r="B820" s="10"/>
    </row>
    <row r="821" customFormat="false" ht="15.75" hidden="false" customHeight="true" outlineLevel="0" collapsed="false">
      <c r="A821" s="10"/>
      <c r="B821" s="10"/>
    </row>
    <row r="822" customFormat="false" ht="15.75" hidden="false" customHeight="true" outlineLevel="0" collapsed="false">
      <c r="A822" s="10"/>
      <c r="B822" s="10"/>
    </row>
    <row r="823" customFormat="false" ht="15.75" hidden="false" customHeight="true" outlineLevel="0" collapsed="false">
      <c r="A823" s="10"/>
      <c r="B823" s="10"/>
    </row>
    <row r="824" customFormat="false" ht="15.75" hidden="false" customHeight="true" outlineLevel="0" collapsed="false">
      <c r="A824" s="10"/>
      <c r="B824" s="10"/>
    </row>
    <row r="825" customFormat="false" ht="15.75" hidden="false" customHeight="true" outlineLevel="0" collapsed="false">
      <c r="A825" s="10"/>
      <c r="B825" s="10"/>
    </row>
    <row r="826" customFormat="false" ht="15.75" hidden="false" customHeight="true" outlineLevel="0" collapsed="false">
      <c r="A826" s="10"/>
      <c r="B826" s="10"/>
    </row>
    <row r="827" customFormat="false" ht="15.75" hidden="false" customHeight="true" outlineLevel="0" collapsed="false">
      <c r="A827" s="10"/>
      <c r="B827" s="10"/>
    </row>
    <row r="828" customFormat="false" ht="15.75" hidden="false" customHeight="true" outlineLevel="0" collapsed="false">
      <c r="A828" s="10"/>
      <c r="B828" s="10"/>
    </row>
    <row r="829" customFormat="false" ht="15.75" hidden="false" customHeight="true" outlineLevel="0" collapsed="false">
      <c r="A829" s="10"/>
      <c r="B829" s="10"/>
    </row>
    <row r="830" customFormat="false" ht="15.75" hidden="false" customHeight="true" outlineLevel="0" collapsed="false">
      <c r="A830" s="10"/>
      <c r="B830" s="10"/>
    </row>
    <row r="831" customFormat="false" ht="15.75" hidden="false" customHeight="true" outlineLevel="0" collapsed="false">
      <c r="A831" s="10"/>
      <c r="B831" s="10"/>
    </row>
    <row r="832" customFormat="false" ht="15.75" hidden="false" customHeight="true" outlineLevel="0" collapsed="false">
      <c r="A832" s="10"/>
      <c r="B832" s="10"/>
    </row>
    <row r="833" customFormat="false" ht="15.75" hidden="false" customHeight="true" outlineLevel="0" collapsed="false">
      <c r="A833" s="10"/>
      <c r="B833" s="10"/>
    </row>
    <row r="834" customFormat="false" ht="15.75" hidden="false" customHeight="true" outlineLevel="0" collapsed="false">
      <c r="A834" s="10"/>
      <c r="B834" s="10"/>
    </row>
    <row r="835" customFormat="false" ht="15.75" hidden="false" customHeight="true" outlineLevel="0" collapsed="false">
      <c r="A835" s="10"/>
      <c r="B835" s="10"/>
    </row>
    <row r="836" customFormat="false" ht="15.75" hidden="false" customHeight="true" outlineLevel="0" collapsed="false">
      <c r="A836" s="10"/>
      <c r="B836" s="10"/>
    </row>
    <row r="837" customFormat="false" ht="15.75" hidden="false" customHeight="true" outlineLevel="0" collapsed="false">
      <c r="A837" s="10"/>
      <c r="B837" s="10"/>
    </row>
    <row r="838" customFormat="false" ht="15.75" hidden="false" customHeight="true" outlineLevel="0" collapsed="false">
      <c r="A838" s="10"/>
      <c r="B838" s="10"/>
    </row>
    <row r="839" customFormat="false" ht="15.75" hidden="false" customHeight="true" outlineLevel="0" collapsed="false">
      <c r="A839" s="10"/>
      <c r="B839" s="10"/>
    </row>
    <row r="840" customFormat="false" ht="15.75" hidden="false" customHeight="true" outlineLevel="0" collapsed="false">
      <c r="A840" s="10"/>
      <c r="B840" s="10"/>
    </row>
    <row r="841" customFormat="false" ht="15.75" hidden="false" customHeight="true" outlineLevel="0" collapsed="false">
      <c r="A841" s="10"/>
      <c r="B841" s="10"/>
    </row>
    <row r="842" customFormat="false" ht="15.75" hidden="false" customHeight="true" outlineLevel="0" collapsed="false">
      <c r="A842" s="10"/>
      <c r="B842" s="10"/>
    </row>
    <row r="843" customFormat="false" ht="15.75" hidden="false" customHeight="true" outlineLevel="0" collapsed="false">
      <c r="A843" s="10"/>
      <c r="B843" s="10"/>
    </row>
    <row r="844" customFormat="false" ht="15.75" hidden="false" customHeight="true" outlineLevel="0" collapsed="false">
      <c r="A844" s="10"/>
      <c r="B844" s="10"/>
    </row>
    <row r="845" customFormat="false" ht="15.75" hidden="false" customHeight="true" outlineLevel="0" collapsed="false">
      <c r="A845" s="10"/>
      <c r="B845" s="10"/>
    </row>
    <row r="846" customFormat="false" ht="15.75" hidden="false" customHeight="true" outlineLevel="0" collapsed="false">
      <c r="A846" s="10"/>
      <c r="B846" s="10"/>
    </row>
    <row r="847" customFormat="false" ht="15.75" hidden="false" customHeight="true" outlineLevel="0" collapsed="false">
      <c r="A847" s="10"/>
      <c r="B847" s="10"/>
    </row>
    <row r="848" customFormat="false" ht="15.75" hidden="false" customHeight="true" outlineLevel="0" collapsed="false">
      <c r="A848" s="10"/>
      <c r="B848" s="10"/>
    </row>
    <row r="849" customFormat="false" ht="15.75" hidden="false" customHeight="true" outlineLevel="0" collapsed="false">
      <c r="A849" s="10"/>
      <c r="B849" s="10"/>
    </row>
    <row r="850" customFormat="false" ht="15.75" hidden="false" customHeight="true" outlineLevel="0" collapsed="false">
      <c r="A850" s="10"/>
      <c r="B850" s="10"/>
    </row>
    <row r="851" customFormat="false" ht="15.75" hidden="false" customHeight="true" outlineLevel="0" collapsed="false">
      <c r="A851" s="10"/>
      <c r="B851" s="10"/>
    </row>
    <row r="852" customFormat="false" ht="15.75" hidden="false" customHeight="true" outlineLevel="0" collapsed="false">
      <c r="A852" s="10"/>
      <c r="B852" s="10"/>
    </row>
    <row r="853" customFormat="false" ht="15.75" hidden="false" customHeight="true" outlineLevel="0" collapsed="false">
      <c r="A853" s="10"/>
      <c r="B853" s="10"/>
    </row>
    <row r="854" customFormat="false" ht="15.75" hidden="false" customHeight="true" outlineLevel="0" collapsed="false">
      <c r="A854" s="10"/>
      <c r="B854" s="10"/>
    </row>
    <row r="855" customFormat="false" ht="15.75" hidden="false" customHeight="true" outlineLevel="0" collapsed="false">
      <c r="A855" s="10"/>
      <c r="B855" s="10"/>
    </row>
    <row r="856" customFormat="false" ht="15.75" hidden="false" customHeight="true" outlineLevel="0" collapsed="false">
      <c r="A856" s="10"/>
      <c r="B856" s="10"/>
    </row>
    <row r="857" customFormat="false" ht="15.75" hidden="false" customHeight="true" outlineLevel="0" collapsed="false">
      <c r="A857" s="10"/>
      <c r="B857" s="10"/>
    </row>
    <row r="858" customFormat="false" ht="15.75" hidden="false" customHeight="true" outlineLevel="0" collapsed="false">
      <c r="A858" s="10"/>
      <c r="B858" s="10"/>
    </row>
    <row r="859" customFormat="false" ht="15.75" hidden="false" customHeight="true" outlineLevel="0" collapsed="false">
      <c r="A859" s="10"/>
      <c r="B859" s="10"/>
    </row>
    <row r="860" customFormat="false" ht="15.75" hidden="false" customHeight="true" outlineLevel="0" collapsed="false">
      <c r="A860" s="10"/>
      <c r="B860" s="10"/>
    </row>
    <row r="861" customFormat="false" ht="15.75" hidden="false" customHeight="true" outlineLevel="0" collapsed="false">
      <c r="A861" s="10"/>
      <c r="B861" s="10"/>
    </row>
    <row r="862" customFormat="false" ht="15.75" hidden="false" customHeight="true" outlineLevel="0" collapsed="false">
      <c r="A862" s="10"/>
      <c r="B862" s="10"/>
    </row>
    <row r="863" customFormat="false" ht="15.75" hidden="false" customHeight="true" outlineLevel="0" collapsed="false">
      <c r="A863" s="10"/>
      <c r="B863" s="10"/>
    </row>
    <row r="864" customFormat="false" ht="15.75" hidden="false" customHeight="true" outlineLevel="0" collapsed="false">
      <c r="A864" s="10"/>
      <c r="B864" s="10"/>
    </row>
    <row r="865" customFormat="false" ht="15.75" hidden="false" customHeight="true" outlineLevel="0" collapsed="false">
      <c r="A865" s="10"/>
      <c r="B865" s="10"/>
    </row>
    <row r="866" customFormat="false" ht="15.75" hidden="false" customHeight="true" outlineLevel="0" collapsed="false">
      <c r="A866" s="10"/>
      <c r="B866" s="10"/>
    </row>
    <row r="867" customFormat="false" ht="15.75" hidden="false" customHeight="true" outlineLevel="0" collapsed="false">
      <c r="A867" s="10"/>
      <c r="B867" s="10"/>
    </row>
    <row r="868" customFormat="false" ht="15.75" hidden="false" customHeight="true" outlineLevel="0" collapsed="false">
      <c r="A868" s="10"/>
      <c r="B868" s="10"/>
    </row>
    <row r="869" customFormat="false" ht="15.75" hidden="false" customHeight="true" outlineLevel="0" collapsed="false">
      <c r="A869" s="10"/>
      <c r="B869" s="10"/>
    </row>
    <row r="870" customFormat="false" ht="15.75" hidden="false" customHeight="true" outlineLevel="0" collapsed="false">
      <c r="A870" s="10"/>
      <c r="B870" s="10"/>
    </row>
    <row r="871" customFormat="false" ht="15.75" hidden="false" customHeight="true" outlineLevel="0" collapsed="false">
      <c r="A871" s="10"/>
      <c r="B871" s="10"/>
    </row>
    <row r="872" customFormat="false" ht="15.75" hidden="false" customHeight="true" outlineLevel="0" collapsed="false">
      <c r="A872" s="10"/>
      <c r="B872" s="10"/>
    </row>
    <row r="873" customFormat="false" ht="15.75" hidden="false" customHeight="true" outlineLevel="0" collapsed="false">
      <c r="A873" s="10"/>
      <c r="B873" s="10"/>
    </row>
    <row r="874" customFormat="false" ht="15.75" hidden="false" customHeight="true" outlineLevel="0" collapsed="false">
      <c r="A874" s="10"/>
      <c r="B874" s="10"/>
    </row>
    <row r="875" customFormat="false" ht="15.75" hidden="false" customHeight="true" outlineLevel="0" collapsed="false">
      <c r="A875" s="10"/>
      <c r="B875" s="10"/>
    </row>
    <row r="876" customFormat="false" ht="15.75" hidden="false" customHeight="true" outlineLevel="0" collapsed="false">
      <c r="A876" s="10"/>
      <c r="B876" s="10"/>
    </row>
    <row r="877" customFormat="false" ht="15.75" hidden="false" customHeight="true" outlineLevel="0" collapsed="false">
      <c r="A877" s="10"/>
      <c r="B877" s="10"/>
    </row>
    <row r="878" customFormat="false" ht="15.75" hidden="false" customHeight="true" outlineLevel="0" collapsed="false">
      <c r="A878" s="10"/>
      <c r="B878" s="10"/>
    </row>
    <row r="879" customFormat="false" ht="15.75" hidden="false" customHeight="true" outlineLevel="0" collapsed="false">
      <c r="A879" s="10"/>
      <c r="B879" s="10"/>
    </row>
    <row r="880" customFormat="false" ht="15.75" hidden="false" customHeight="true" outlineLevel="0" collapsed="false">
      <c r="A880" s="10"/>
      <c r="B880" s="10"/>
    </row>
    <row r="881" customFormat="false" ht="15.75" hidden="false" customHeight="true" outlineLevel="0" collapsed="false">
      <c r="A881" s="10"/>
      <c r="B881" s="10"/>
    </row>
    <row r="882" customFormat="false" ht="15.75" hidden="false" customHeight="true" outlineLevel="0" collapsed="false">
      <c r="A882" s="10"/>
      <c r="B882" s="10"/>
    </row>
    <row r="883" customFormat="false" ht="15.75" hidden="false" customHeight="true" outlineLevel="0" collapsed="false">
      <c r="A883" s="10"/>
      <c r="B883" s="10"/>
    </row>
    <row r="884" customFormat="false" ht="15.75" hidden="false" customHeight="true" outlineLevel="0" collapsed="false">
      <c r="A884" s="10"/>
      <c r="B884" s="10"/>
    </row>
    <row r="885" customFormat="false" ht="15.75" hidden="false" customHeight="true" outlineLevel="0" collapsed="false">
      <c r="A885" s="10"/>
      <c r="B885" s="10"/>
    </row>
    <row r="886" customFormat="false" ht="15.75" hidden="false" customHeight="true" outlineLevel="0" collapsed="false">
      <c r="A886" s="10"/>
      <c r="B886" s="10"/>
    </row>
    <row r="887" customFormat="false" ht="15.75" hidden="false" customHeight="true" outlineLevel="0" collapsed="false">
      <c r="A887" s="10"/>
      <c r="B887" s="10"/>
    </row>
    <row r="888" customFormat="false" ht="15.75" hidden="false" customHeight="true" outlineLevel="0" collapsed="false">
      <c r="A888" s="10"/>
      <c r="B888" s="10"/>
    </row>
    <row r="889" customFormat="false" ht="15.75" hidden="false" customHeight="true" outlineLevel="0" collapsed="false">
      <c r="A889" s="10"/>
      <c r="B889" s="10"/>
    </row>
    <row r="890" customFormat="false" ht="15.75" hidden="false" customHeight="true" outlineLevel="0" collapsed="false">
      <c r="A890" s="10"/>
      <c r="B890" s="10"/>
    </row>
    <row r="891" customFormat="false" ht="15.75" hidden="false" customHeight="true" outlineLevel="0" collapsed="false">
      <c r="A891" s="10"/>
      <c r="B891" s="10"/>
    </row>
    <row r="892" customFormat="false" ht="15.75" hidden="false" customHeight="true" outlineLevel="0" collapsed="false">
      <c r="A892" s="10"/>
      <c r="B892" s="10"/>
    </row>
    <row r="893" customFormat="false" ht="15.75" hidden="false" customHeight="true" outlineLevel="0" collapsed="false">
      <c r="A893" s="10"/>
      <c r="B893" s="10"/>
    </row>
    <row r="894" customFormat="false" ht="15.75" hidden="false" customHeight="true" outlineLevel="0" collapsed="false">
      <c r="A894" s="10"/>
      <c r="B894" s="10"/>
    </row>
    <row r="895" customFormat="false" ht="15.75" hidden="false" customHeight="true" outlineLevel="0" collapsed="false">
      <c r="A895" s="10"/>
      <c r="B895" s="10"/>
    </row>
    <row r="896" customFormat="false" ht="15.75" hidden="false" customHeight="true" outlineLevel="0" collapsed="false">
      <c r="A896" s="10"/>
      <c r="B896" s="10"/>
    </row>
    <row r="897" customFormat="false" ht="15.75" hidden="false" customHeight="true" outlineLevel="0" collapsed="false">
      <c r="A897" s="10"/>
      <c r="B897" s="10"/>
    </row>
    <row r="898" customFormat="false" ht="15.75" hidden="false" customHeight="true" outlineLevel="0" collapsed="false">
      <c r="A898" s="10"/>
      <c r="B898" s="10"/>
    </row>
    <row r="899" customFormat="false" ht="15.75" hidden="false" customHeight="true" outlineLevel="0" collapsed="false">
      <c r="A899" s="10"/>
      <c r="B899" s="10"/>
    </row>
    <row r="900" customFormat="false" ht="15.75" hidden="false" customHeight="true" outlineLevel="0" collapsed="false">
      <c r="A900" s="10"/>
      <c r="B900" s="10"/>
    </row>
    <row r="901" customFormat="false" ht="15.75" hidden="false" customHeight="true" outlineLevel="0" collapsed="false">
      <c r="A901" s="10"/>
      <c r="B901" s="10"/>
    </row>
    <row r="902" customFormat="false" ht="15.75" hidden="false" customHeight="true" outlineLevel="0" collapsed="false">
      <c r="A902" s="10"/>
      <c r="B902" s="10"/>
    </row>
    <row r="903" customFormat="false" ht="15.75" hidden="false" customHeight="true" outlineLevel="0" collapsed="false">
      <c r="A903" s="10"/>
      <c r="B903" s="10"/>
    </row>
    <row r="904" customFormat="false" ht="15.75" hidden="false" customHeight="true" outlineLevel="0" collapsed="false">
      <c r="A904" s="10"/>
      <c r="B904" s="10"/>
    </row>
    <row r="905" customFormat="false" ht="15.75" hidden="false" customHeight="true" outlineLevel="0" collapsed="false">
      <c r="A905" s="10"/>
      <c r="B905" s="10"/>
    </row>
    <row r="906" customFormat="false" ht="15.75" hidden="false" customHeight="true" outlineLevel="0" collapsed="false">
      <c r="A906" s="10"/>
      <c r="B906" s="10"/>
    </row>
    <row r="907" customFormat="false" ht="15.75" hidden="false" customHeight="true" outlineLevel="0" collapsed="false">
      <c r="A907" s="10"/>
      <c r="B907" s="10"/>
    </row>
    <row r="908" customFormat="false" ht="15.75" hidden="false" customHeight="true" outlineLevel="0" collapsed="false">
      <c r="A908" s="10"/>
      <c r="B908" s="10"/>
    </row>
    <row r="909" customFormat="false" ht="15.75" hidden="false" customHeight="true" outlineLevel="0" collapsed="false">
      <c r="A909" s="10"/>
      <c r="B909" s="10"/>
    </row>
    <row r="910" customFormat="false" ht="15.75" hidden="false" customHeight="true" outlineLevel="0" collapsed="false">
      <c r="A910" s="10"/>
      <c r="B910" s="10"/>
    </row>
    <row r="911" customFormat="false" ht="15.75" hidden="false" customHeight="true" outlineLevel="0" collapsed="false">
      <c r="A911" s="10"/>
      <c r="B911" s="10"/>
    </row>
    <row r="912" customFormat="false" ht="15.75" hidden="false" customHeight="true" outlineLevel="0" collapsed="false">
      <c r="A912" s="10"/>
      <c r="B912" s="10"/>
    </row>
    <row r="913" customFormat="false" ht="15.75" hidden="false" customHeight="true" outlineLevel="0" collapsed="false">
      <c r="A913" s="10"/>
      <c r="B913" s="10"/>
    </row>
    <row r="914" customFormat="false" ht="15.75" hidden="false" customHeight="true" outlineLevel="0" collapsed="false">
      <c r="A914" s="10"/>
      <c r="B914" s="10"/>
    </row>
    <row r="915" customFormat="false" ht="15.75" hidden="false" customHeight="true" outlineLevel="0" collapsed="false">
      <c r="A915" s="10"/>
      <c r="B915" s="10"/>
    </row>
    <row r="916" customFormat="false" ht="15.75" hidden="false" customHeight="true" outlineLevel="0" collapsed="false">
      <c r="A916" s="10"/>
      <c r="B916" s="10"/>
    </row>
    <row r="917" customFormat="false" ht="15.75" hidden="false" customHeight="true" outlineLevel="0" collapsed="false">
      <c r="A917" s="10"/>
      <c r="B917" s="10"/>
    </row>
    <row r="918" customFormat="false" ht="15.75" hidden="false" customHeight="true" outlineLevel="0" collapsed="false">
      <c r="A918" s="10"/>
      <c r="B918" s="10"/>
    </row>
    <row r="919" customFormat="false" ht="15.75" hidden="false" customHeight="true" outlineLevel="0" collapsed="false">
      <c r="A919" s="10"/>
      <c r="B919" s="10"/>
    </row>
    <row r="920" customFormat="false" ht="15.75" hidden="false" customHeight="true" outlineLevel="0" collapsed="false">
      <c r="A920" s="10"/>
      <c r="B920" s="10"/>
    </row>
    <row r="921" customFormat="false" ht="15.75" hidden="false" customHeight="true" outlineLevel="0" collapsed="false">
      <c r="A921" s="10"/>
      <c r="B921" s="10"/>
    </row>
    <row r="922" customFormat="false" ht="15.75" hidden="false" customHeight="true" outlineLevel="0" collapsed="false">
      <c r="A922" s="10"/>
      <c r="B922" s="10"/>
    </row>
    <row r="923" customFormat="false" ht="15.75" hidden="false" customHeight="true" outlineLevel="0" collapsed="false">
      <c r="A923" s="10"/>
      <c r="B923" s="10"/>
    </row>
    <row r="924" customFormat="false" ht="15.75" hidden="false" customHeight="true" outlineLevel="0" collapsed="false">
      <c r="A924" s="10"/>
      <c r="B924" s="10"/>
    </row>
    <row r="925" customFormat="false" ht="15.75" hidden="false" customHeight="true" outlineLevel="0" collapsed="false">
      <c r="A925" s="10"/>
      <c r="B925" s="10"/>
    </row>
    <row r="926" customFormat="false" ht="15.75" hidden="false" customHeight="true" outlineLevel="0" collapsed="false">
      <c r="A926" s="10"/>
      <c r="B926" s="10"/>
    </row>
    <row r="927" customFormat="false" ht="15.75" hidden="false" customHeight="true" outlineLevel="0" collapsed="false">
      <c r="A927" s="10"/>
      <c r="B927" s="10"/>
    </row>
    <row r="928" customFormat="false" ht="15.75" hidden="false" customHeight="true" outlineLevel="0" collapsed="false">
      <c r="A928" s="10"/>
      <c r="B928" s="10"/>
    </row>
    <row r="929" customFormat="false" ht="15.75" hidden="false" customHeight="true" outlineLevel="0" collapsed="false">
      <c r="A929" s="10"/>
      <c r="B929" s="10"/>
    </row>
    <row r="930" customFormat="false" ht="15.75" hidden="false" customHeight="true" outlineLevel="0" collapsed="false">
      <c r="A930" s="10"/>
      <c r="B930" s="10"/>
    </row>
    <row r="931" customFormat="false" ht="15.75" hidden="false" customHeight="true" outlineLevel="0" collapsed="false">
      <c r="A931" s="10"/>
      <c r="B931" s="10"/>
    </row>
    <row r="932" customFormat="false" ht="15.75" hidden="false" customHeight="true" outlineLevel="0" collapsed="false">
      <c r="A932" s="10"/>
      <c r="B932" s="10"/>
    </row>
    <row r="933" customFormat="false" ht="15.75" hidden="false" customHeight="true" outlineLevel="0" collapsed="false">
      <c r="A933" s="10"/>
      <c r="B933" s="10"/>
    </row>
    <row r="934" customFormat="false" ht="15.75" hidden="false" customHeight="true" outlineLevel="0" collapsed="false">
      <c r="A934" s="10"/>
      <c r="B934" s="10"/>
    </row>
    <row r="935" customFormat="false" ht="15.75" hidden="false" customHeight="true" outlineLevel="0" collapsed="false">
      <c r="A935" s="10"/>
      <c r="B935" s="10"/>
    </row>
    <row r="936" customFormat="false" ht="15.75" hidden="false" customHeight="true" outlineLevel="0" collapsed="false">
      <c r="A936" s="10"/>
      <c r="B936" s="10"/>
    </row>
    <row r="937" customFormat="false" ht="15.75" hidden="false" customHeight="true" outlineLevel="0" collapsed="false">
      <c r="A937" s="10"/>
      <c r="B937" s="10"/>
    </row>
    <row r="938" customFormat="false" ht="15.75" hidden="false" customHeight="true" outlineLevel="0" collapsed="false">
      <c r="A938" s="10"/>
      <c r="B938" s="10"/>
    </row>
    <row r="939" customFormat="false" ht="15.75" hidden="false" customHeight="true" outlineLevel="0" collapsed="false">
      <c r="A939" s="10"/>
      <c r="B939" s="10"/>
    </row>
    <row r="940" customFormat="false" ht="15.75" hidden="false" customHeight="true" outlineLevel="0" collapsed="false">
      <c r="A940" s="10"/>
      <c r="B940" s="10"/>
    </row>
    <row r="941" customFormat="false" ht="15.75" hidden="false" customHeight="true" outlineLevel="0" collapsed="false">
      <c r="A941" s="10"/>
      <c r="B941" s="10"/>
    </row>
    <row r="942" customFormat="false" ht="15.75" hidden="false" customHeight="true" outlineLevel="0" collapsed="false">
      <c r="A942" s="10"/>
      <c r="B942" s="10"/>
    </row>
    <row r="943" customFormat="false" ht="15.75" hidden="false" customHeight="true" outlineLevel="0" collapsed="false">
      <c r="A943" s="10"/>
      <c r="B943" s="10"/>
    </row>
    <row r="944" customFormat="false" ht="15.75" hidden="false" customHeight="true" outlineLevel="0" collapsed="false">
      <c r="A944" s="10"/>
      <c r="B944" s="10"/>
    </row>
    <row r="945" customFormat="false" ht="15.75" hidden="false" customHeight="true" outlineLevel="0" collapsed="false">
      <c r="A945" s="10"/>
      <c r="B945" s="10"/>
    </row>
    <row r="946" customFormat="false" ht="15.75" hidden="false" customHeight="true" outlineLevel="0" collapsed="false">
      <c r="A946" s="10"/>
      <c r="B946" s="10"/>
    </row>
    <row r="947" customFormat="false" ht="15.75" hidden="false" customHeight="true" outlineLevel="0" collapsed="false">
      <c r="A947" s="10"/>
      <c r="B947" s="10"/>
    </row>
    <row r="948" customFormat="false" ht="15.75" hidden="false" customHeight="true" outlineLevel="0" collapsed="false">
      <c r="A948" s="10"/>
      <c r="B948" s="10"/>
    </row>
    <row r="949" customFormat="false" ht="15.75" hidden="false" customHeight="true" outlineLevel="0" collapsed="false">
      <c r="A949" s="10"/>
      <c r="B949" s="10"/>
    </row>
    <row r="950" customFormat="false" ht="15.75" hidden="false" customHeight="true" outlineLevel="0" collapsed="false">
      <c r="A950" s="10"/>
      <c r="B950" s="10"/>
    </row>
    <row r="951" customFormat="false" ht="15.75" hidden="false" customHeight="true" outlineLevel="0" collapsed="false">
      <c r="A951" s="10"/>
      <c r="B951" s="10"/>
    </row>
    <row r="952" customFormat="false" ht="15.75" hidden="false" customHeight="true" outlineLevel="0" collapsed="false">
      <c r="A952" s="10"/>
      <c r="B952" s="10"/>
    </row>
    <row r="953" customFormat="false" ht="15.75" hidden="false" customHeight="true" outlineLevel="0" collapsed="false">
      <c r="A953" s="10"/>
      <c r="B953" s="10"/>
    </row>
    <row r="954" customFormat="false" ht="15.75" hidden="false" customHeight="true" outlineLevel="0" collapsed="false">
      <c r="A954" s="10"/>
      <c r="B954" s="10"/>
    </row>
    <row r="955" customFormat="false" ht="15.75" hidden="false" customHeight="true" outlineLevel="0" collapsed="false">
      <c r="A955" s="10"/>
      <c r="B955" s="10"/>
    </row>
    <row r="956" customFormat="false" ht="15.75" hidden="false" customHeight="true" outlineLevel="0" collapsed="false">
      <c r="A956" s="10"/>
      <c r="B956" s="10"/>
    </row>
    <row r="957" customFormat="false" ht="15.75" hidden="false" customHeight="true" outlineLevel="0" collapsed="false">
      <c r="A957" s="10"/>
      <c r="B957" s="10"/>
    </row>
    <row r="958" customFormat="false" ht="15.75" hidden="false" customHeight="true" outlineLevel="0" collapsed="false">
      <c r="A958" s="10"/>
      <c r="B958" s="10"/>
    </row>
    <row r="959" customFormat="false" ht="15.75" hidden="false" customHeight="true" outlineLevel="0" collapsed="false">
      <c r="A959" s="10"/>
      <c r="B959" s="10"/>
    </row>
    <row r="960" customFormat="false" ht="15.75" hidden="false" customHeight="true" outlineLevel="0" collapsed="false">
      <c r="A960" s="10"/>
      <c r="B960" s="10"/>
    </row>
    <row r="961" customFormat="false" ht="15.75" hidden="false" customHeight="true" outlineLevel="0" collapsed="false">
      <c r="A961" s="10"/>
      <c r="B961" s="10"/>
    </row>
    <row r="962" customFormat="false" ht="15.75" hidden="false" customHeight="true" outlineLevel="0" collapsed="false">
      <c r="A962" s="10"/>
      <c r="B962" s="10"/>
    </row>
    <row r="963" customFormat="false" ht="15.75" hidden="false" customHeight="true" outlineLevel="0" collapsed="false">
      <c r="A963" s="10"/>
      <c r="B963" s="10"/>
    </row>
    <row r="964" customFormat="false" ht="15.75" hidden="false" customHeight="true" outlineLevel="0" collapsed="false">
      <c r="A964" s="10"/>
      <c r="B964" s="10"/>
    </row>
    <row r="965" customFormat="false" ht="15.75" hidden="false" customHeight="true" outlineLevel="0" collapsed="false">
      <c r="A965" s="10"/>
      <c r="B965" s="10"/>
    </row>
    <row r="966" customFormat="false" ht="15.75" hidden="false" customHeight="true" outlineLevel="0" collapsed="false">
      <c r="A966" s="10"/>
      <c r="B966" s="10"/>
    </row>
    <row r="967" customFormat="false" ht="15.75" hidden="false" customHeight="true" outlineLevel="0" collapsed="false">
      <c r="A967" s="10"/>
      <c r="B967" s="10"/>
    </row>
    <row r="968" customFormat="false" ht="15.75" hidden="false" customHeight="true" outlineLevel="0" collapsed="false">
      <c r="A968" s="10"/>
      <c r="B968" s="10"/>
    </row>
    <row r="969" customFormat="false" ht="15.75" hidden="false" customHeight="true" outlineLevel="0" collapsed="false">
      <c r="A969" s="10"/>
      <c r="B969" s="10"/>
    </row>
    <row r="970" customFormat="false" ht="15.75" hidden="false" customHeight="true" outlineLevel="0" collapsed="false">
      <c r="A970" s="10"/>
      <c r="B970" s="10"/>
    </row>
    <row r="971" customFormat="false" ht="15.75" hidden="false" customHeight="true" outlineLevel="0" collapsed="false">
      <c r="A971" s="10"/>
      <c r="B971" s="10"/>
    </row>
    <row r="972" customFormat="false" ht="15.75" hidden="false" customHeight="true" outlineLevel="0" collapsed="false">
      <c r="A972" s="10"/>
      <c r="B972" s="10"/>
    </row>
    <row r="973" customFormat="false" ht="15.75" hidden="false" customHeight="true" outlineLevel="0" collapsed="false">
      <c r="A973" s="10"/>
      <c r="B973" s="10"/>
    </row>
    <row r="974" customFormat="false" ht="15.75" hidden="false" customHeight="true" outlineLevel="0" collapsed="false">
      <c r="A974" s="10"/>
      <c r="B974" s="10"/>
    </row>
    <row r="975" customFormat="false" ht="15.75" hidden="false" customHeight="true" outlineLevel="0" collapsed="false">
      <c r="A975" s="10"/>
      <c r="B975" s="10"/>
    </row>
    <row r="976" customFormat="false" ht="15.75" hidden="false" customHeight="true" outlineLevel="0" collapsed="false">
      <c r="A976" s="10"/>
      <c r="B976" s="10"/>
    </row>
    <row r="977" customFormat="false" ht="15.75" hidden="false" customHeight="true" outlineLevel="0" collapsed="false">
      <c r="A977" s="10"/>
      <c r="B977" s="10"/>
    </row>
    <row r="978" customFormat="false" ht="15.75" hidden="false" customHeight="true" outlineLevel="0" collapsed="false">
      <c r="A978" s="10"/>
      <c r="B978" s="10"/>
    </row>
    <row r="979" customFormat="false" ht="15.75" hidden="false" customHeight="true" outlineLevel="0" collapsed="false">
      <c r="A979" s="10"/>
      <c r="B979" s="10"/>
    </row>
    <row r="980" customFormat="false" ht="15.75" hidden="false" customHeight="true" outlineLevel="0" collapsed="false">
      <c r="A980" s="10"/>
      <c r="B980" s="10"/>
    </row>
    <row r="981" customFormat="false" ht="15.75" hidden="false" customHeight="true" outlineLevel="0" collapsed="false">
      <c r="A981" s="10"/>
      <c r="B981" s="10"/>
    </row>
    <row r="982" customFormat="false" ht="15.75" hidden="false" customHeight="true" outlineLevel="0" collapsed="false">
      <c r="A982" s="10"/>
      <c r="B982" s="10"/>
    </row>
    <row r="983" customFormat="false" ht="15.75" hidden="false" customHeight="true" outlineLevel="0" collapsed="false">
      <c r="A983" s="10"/>
      <c r="B983" s="10"/>
    </row>
    <row r="984" customFormat="false" ht="15.75" hidden="false" customHeight="true" outlineLevel="0" collapsed="false">
      <c r="A984" s="10"/>
      <c r="B984" s="10"/>
    </row>
    <row r="985" customFormat="false" ht="15.75" hidden="false" customHeight="true" outlineLevel="0" collapsed="false">
      <c r="A985" s="10"/>
      <c r="B985" s="10"/>
    </row>
    <row r="986" customFormat="false" ht="15.75" hidden="false" customHeight="true" outlineLevel="0" collapsed="false">
      <c r="A986" s="10"/>
      <c r="B986" s="10"/>
    </row>
    <row r="987" customFormat="false" ht="15.75" hidden="false" customHeight="true" outlineLevel="0" collapsed="false">
      <c r="A987" s="10"/>
      <c r="B987" s="10"/>
    </row>
    <row r="988" customFormat="false" ht="15.75" hidden="false" customHeight="true" outlineLevel="0" collapsed="false">
      <c r="A988" s="10"/>
      <c r="B988" s="10"/>
    </row>
    <row r="989" customFormat="false" ht="15.75" hidden="false" customHeight="true" outlineLevel="0" collapsed="false">
      <c r="A989" s="10"/>
      <c r="B989" s="10"/>
    </row>
    <row r="990" customFormat="false" ht="15.75" hidden="false" customHeight="true" outlineLevel="0" collapsed="false">
      <c r="A990" s="10"/>
      <c r="B990" s="10"/>
    </row>
    <row r="991" customFormat="false" ht="15.75" hidden="false" customHeight="true" outlineLevel="0" collapsed="false">
      <c r="A991" s="10"/>
      <c r="B991" s="10"/>
    </row>
    <row r="992" customFormat="false" ht="15.75" hidden="false" customHeight="true" outlineLevel="0" collapsed="false">
      <c r="A992" s="10"/>
      <c r="B992" s="10"/>
    </row>
    <row r="993" customFormat="false" ht="15.75" hidden="false" customHeight="true" outlineLevel="0" collapsed="false">
      <c r="A993" s="10"/>
      <c r="B993" s="10"/>
    </row>
    <row r="994" customFormat="false" ht="15.75" hidden="false" customHeight="true" outlineLevel="0" collapsed="false">
      <c r="A994" s="10"/>
      <c r="B994" s="10"/>
    </row>
    <row r="995" customFormat="false" ht="15.75" hidden="false" customHeight="true" outlineLevel="0" collapsed="false">
      <c r="A995" s="10"/>
      <c r="B995" s="10"/>
    </row>
    <row r="996" customFormat="false" ht="15.75" hidden="false" customHeight="true" outlineLevel="0" collapsed="false">
      <c r="A996" s="10"/>
      <c r="B996" s="10"/>
    </row>
    <row r="997" customFormat="false" ht="15.75" hidden="false" customHeight="true" outlineLevel="0" collapsed="false">
      <c r="A997" s="10"/>
      <c r="B997" s="10"/>
    </row>
    <row r="998" customFormat="false" ht="15.75" hidden="false" customHeight="true" outlineLevel="0" collapsed="false">
      <c r="A998" s="10"/>
      <c r="B998" s="10"/>
    </row>
    <row r="999" customFormat="false" ht="15.75" hidden="false" customHeight="true" outlineLevel="0" collapsed="false">
      <c r="A999" s="10"/>
      <c r="B999" s="10"/>
    </row>
    <row r="1000" customFormat="false" ht="15.75" hidden="false" customHeight="true" outlineLevel="0" collapsed="false">
      <c r="A1000" s="10"/>
      <c r="B1000" s="10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18"/>
    <col collapsed="false" customWidth="true" hidden="false" outlineLevel="0" max="26" min="5" style="1" width="8.71"/>
  </cols>
  <sheetData>
    <row r="1" customFormat="false" ht="17.25" hidden="false" customHeight="true" outlineLevel="0" collapsed="false">
      <c r="A1" s="26" t="s">
        <v>235</v>
      </c>
      <c r="B1" s="26"/>
      <c r="C1" s="26"/>
      <c r="D1" s="26"/>
    </row>
    <row r="2" customFormat="false" ht="15" hidden="false" customHeight="false" outlineLevel="0" collapsed="false">
      <c r="A2" s="10"/>
      <c r="B2" s="10"/>
      <c r="C2" s="10"/>
      <c r="D2" s="10"/>
    </row>
    <row r="3" customFormat="false" ht="15" hidden="false" customHeight="true" outlineLevel="0" collapsed="false">
      <c r="A3" s="16" t="s">
        <v>236</v>
      </c>
      <c r="B3" s="10"/>
      <c r="C3" s="10"/>
      <c r="D3" s="10"/>
    </row>
    <row r="4" customFormat="false" ht="15" hidden="false" customHeight="true" outlineLevel="0" collapsed="false">
      <c r="A4" s="17" t="s">
        <v>237</v>
      </c>
      <c r="B4" s="17" t="s">
        <v>220</v>
      </c>
      <c r="C4" s="10"/>
      <c r="D4" s="10"/>
    </row>
    <row r="5" customFormat="false" ht="15" hidden="false" customHeight="true" outlineLevel="0" collapsed="false">
      <c r="A5" s="18" t="s">
        <v>19</v>
      </c>
      <c r="B5" s="19" t="n">
        <f aca="false">SUMIF(Veri!B:B,A5,Veri!G:G)</f>
        <v>24764.22</v>
      </c>
      <c r="C5" s="10"/>
      <c r="D5" s="10"/>
    </row>
    <row r="6" customFormat="false" ht="15" hidden="false" customHeight="true" outlineLevel="0" collapsed="false">
      <c r="A6" s="18" t="s">
        <v>15</v>
      </c>
      <c r="B6" s="19" t="n">
        <f aca="false">SUMIF(Veri!B:B,A6,Veri!G:G)</f>
        <v>44981.59</v>
      </c>
      <c r="C6" s="10"/>
      <c r="D6" s="10"/>
    </row>
    <row r="7" customFormat="false" ht="15" hidden="false" customHeight="true" outlineLevel="0" collapsed="false">
      <c r="A7" s="18" t="s">
        <v>9</v>
      </c>
      <c r="B7" s="19" t="n">
        <f aca="false">SUMIF(Veri!B:B,A7,Veri!G:G)</f>
        <v>66112.17</v>
      </c>
      <c r="C7" s="10"/>
      <c r="D7" s="10"/>
    </row>
    <row r="8" customFormat="false" ht="15" hidden="false" customHeight="true" outlineLevel="0" collapsed="false">
      <c r="A8" s="22" t="s">
        <v>238</v>
      </c>
      <c r="B8" s="27" t="n">
        <f aca="false">SUM(B5:B7)</f>
        <v>135857.98</v>
      </c>
      <c r="C8" s="10"/>
      <c r="D8" s="10"/>
    </row>
    <row r="9" customFormat="false" ht="15" hidden="false" customHeight="false" outlineLevel="0" collapsed="false">
      <c r="A9" s="10"/>
      <c r="B9" s="10"/>
      <c r="C9" s="10"/>
      <c r="D9" s="10"/>
    </row>
    <row r="10" customFormat="false" ht="15" hidden="false" customHeight="false" outlineLevel="0" collapsed="false">
      <c r="A10" s="10"/>
      <c r="B10" s="10"/>
      <c r="C10" s="10"/>
      <c r="D10" s="10"/>
    </row>
    <row r="11" customFormat="false" ht="15" hidden="false" customHeight="true" outlineLevel="0" collapsed="false">
      <c r="A11" s="16" t="s">
        <v>239</v>
      </c>
      <c r="B11" s="10"/>
      <c r="C11" s="10"/>
      <c r="D11" s="10"/>
    </row>
    <row r="12" customFormat="false" ht="15" hidden="false" customHeight="true" outlineLevel="0" collapsed="false">
      <c r="A12" s="17" t="s">
        <v>240</v>
      </c>
      <c r="B12" s="17" t="s">
        <v>220</v>
      </c>
      <c r="C12" s="10"/>
      <c r="D12" s="10"/>
    </row>
    <row r="13" customFormat="false" ht="15" hidden="false" customHeight="true" outlineLevel="0" collapsed="false">
      <c r="A13" s="28" t="n">
        <v>2018</v>
      </c>
      <c r="B13" s="19" t="n">
        <f aca="false">SUMIFS(Veri!G:G,Veri!F:F,"&gt;="&amp;DATE(2015,1,1),Veri!F:F,"&lt;="&amp;DATE(2018,12,31))</f>
        <v>2650.28</v>
      </c>
      <c r="C13" s="10"/>
      <c r="D13" s="10"/>
    </row>
    <row r="14" customFormat="false" ht="15" hidden="false" customHeight="true" outlineLevel="0" collapsed="false">
      <c r="A14" s="28" t="n">
        <v>2019</v>
      </c>
      <c r="B14" s="19" t="n">
        <f aca="false">SUMIFS(Veri!G:G,Veri!F:F,"&gt;="&amp;DATE(2019,1,1),Veri!F:F,"&lt;="&amp;DATE(2019,12,31))</f>
        <v>4835.6</v>
      </c>
      <c r="C14" s="10"/>
      <c r="D14" s="10"/>
    </row>
    <row r="15" customFormat="false" ht="15" hidden="false" customHeight="true" outlineLevel="0" collapsed="false">
      <c r="A15" s="28" t="n">
        <v>2020</v>
      </c>
      <c r="B15" s="19" t="n">
        <f aca="false">SUMIFS(Veri!G:G,Veri!F:F,"&gt;="&amp;DATE(2020,1,1),Veri!F:F,"&lt;="&amp;DATE(2020,12,31))</f>
        <v>6669.1</v>
      </c>
      <c r="C15" s="10"/>
      <c r="D15" s="10"/>
    </row>
    <row r="16" customFormat="false" ht="15" hidden="false" customHeight="true" outlineLevel="0" collapsed="false">
      <c r="A16" s="28" t="n">
        <v>2021</v>
      </c>
      <c r="B16" s="19" t="n">
        <f aca="false">SUMIFS(Veri!G:G,Veri!F:F,"&gt;="&amp;DATE(2021,1,1),Veri!F:F,"&lt;="&amp;DATE(2021,12,31))</f>
        <v>9293</v>
      </c>
      <c r="C16" s="10"/>
      <c r="D16" s="10"/>
    </row>
    <row r="17" customFormat="false" ht="15" hidden="false" customHeight="true" outlineLevel="0" collapsed="false">
      <c r="A17" s="28" t="n">
        <v>2022</v>
      </c>
      <c r="B17" s="19" t="n">
        <f aca="false">SUMIFS(Veri!G:G,Veri!F:F,"&gt;="&amp;DATE(2022,1,1),Veri!F:F,"&lt;="&amp;DATE(2022,12,31))</f>
        <v>8098</v>
      </c>
      <c r="C17" s="10"/>
      <c r="D17" s="10"/>
    </row>
    <row r="18" customFormat="false" ht="15" hidden="false" customHeight="true" outlineLevel="0" collapsed="false">
      <c r="A18" s="28" t="n">
        <v>2023</v>
      </c>
      <c r="B18" s="19" t="n">
        <f aca="false">SUMIFS(Veri!G:G,Veri!F:F,"&gt;="&amp;DATE(2023,1,1),Veri!F:F,"&lt;="&amp;DATE(2023,12,31))</f>
        <v>18050</v>
      </c>
      <c r="C18" s="10"/>
      <c r="D18" s="10"/>
    </row>
    <row r="19" customFormat="false" ht="15" hidden="false" customHeight="false" outlineLevel="0" collapsed="false">
      <c r="A19" s="29" t="n">
        <v>2024</v>
      </c>
      <c r="B19" s="19" t="n">
        <f aca="false">SUMIFS(Veri!G:G,Veri!F:F,"&gt;="&amp;DATE(2024,1,1),Veri!F:F,"&lt;="&amp;DATE(2024,12,31))</f>
        <v>28652</v>
      </c>
      <c r="C19" s="10"/>
      <c r="D19" s="10"/>
    </row>
    <row r="20" customFormat="false" ht="15" hidden="false" customHeight="false" outlineLevel="0" collapsed="false">
      <c r="A20" s="29" t="n">
        <v>2025</v>
      </c>
      <c r="B20" s="19" t="n">
        <f aca="false">SUMIFS(Veri!G:G,Veri!F:F,"&gt;="&amp;DATE(2025,1,1),Veri!F:F,"&lt;="&amp;DATE(2025,12,31))</f>
        <v>53310</v>
      </c>
      <c r="C20" s="10"/>
      <c r="D20" s="10"/>
    </row>
    <row r="21" customFormat="false" ht="15.75" hidden="false" customHeight="true" outlineLevel="0" collapsed="false">
      <c r="A21" s="29" t="n">
        <v>2026</v>
      </c>
      <c r="B21" s="19" t="n">
        <f aca="false">SUMIFS(Veri!G:G,Veri!F:F,"&gt;="&amp;DATE(2026,1,1),Veri!F:F,"&lt;="&amp;DATE(2026,12,31))</f>
        <v>4300</v>
      </c>
      <c r="C21" s="10"/>
      <c r="D21" s="10"/>
    </row>
    <row r="22" customFormat="false" ht="15.75" hidden="false" customHeight="true" outlineLevel="0" collapsed="false">
      <c r="A22" s="29"/>
      <c r="B22" s="10"/>
      <c r="C22" s="10"/>
      <c r="D22" s="10"/>
    </row>
    <row r="23" customFormat="false" ht="15.75" hidden="false" customHeight="true" outlineLevel="0" collapsed="false">
      <c r="A23" s="29"/>
      <c r="B23" s="10"/>
      <c r="C23" s="10"/>
      <c r="D23" s="10"/>
    </row>
    <row r="24" customFormat="false" ht="15.75" hidden="false" customHeight="true" outlineLevel="0" collapsed="false">
      <c r="A24" s="10"/>
      <c r="B24" s="10"/>
      <c r="C24" s="10"/>
      <c r="D24" s="10"/>
    </row>
    <row r="25" customFormat="false" ht="15" hidden="false" customHeight="true" outlineLevel="0" collapsed="false">
      <c r="A25" s="16" t="s">
        <v>241</v>
      </c>
      <c r="B25" s="10"/>
      <c r="C25" s="10"/>
      <c r="D25" s="10"/>
    </row>
    <row r="26" customFormat="false" ht="15" hidden="false" customHeight="true" outlineLevel="0" collapsed="false">
      <c r="A26" s="17" t="s">
        <v>237</v>
      </c>
      <c r="B26" s="17" t="s">
        <v>242</v>
      </c>
      <c r="C26" s="17" t="s">
        <v>243</v>
      </c>
      <c r="D26" s="17" t="s">
        <v>244</v>
      </c>
    </row>
    <row r="27" customFormat="false" ht="15" hidden="false" customHeight="true" outlineLevel="0" collapsed="false">
      <c r="A27" s="18" t="s">
        <v>15</v>
      </c>
      <c r="B27" s="20" t="n">
        <f aca="false">COUNTIFS(Veri!B:B,A27,Veri!D:D,"OLUMLU")</f>
        <v>23</v>
      </c>
      <c r="C27" s="20" t="n">
        <f aca="false">COUNTIFS(Veri!B:B,A27,Veri!D:D,"OLUMSUZ")</f>
        <v>32</v>
      </c>
      <c r="D27" s="20" t="n">
        <f aca="false">B27+C27</f>
        <v>55</v>
      </c>
    </row>
    <row r="28" customFormat="false" ht="15" hidden="false" customHeight="true" outlineLevel="0" collapsed="false">
      <c r="A28" s="18" t="s">
        <v>9</v>
      </c>
      <c r="B28" s="20" t="n">
        <f aca="false">COUNTIFS(Veri!B:B,A28,Veri!D:D,"OLUMLU")</f>
        <v>43</v>
      </c>
      <c r="C28" s="20" t="n">
        <f aca="false">COUNTIFS(Veri!B:B,A28,Veri!D:D,"OLUMSUZ")</f>
        <v>51</v>
      </c>
      <c r="D28" s="20" t="n">
        <f aca="false">B28+C28</f>
        <v>94</v>
      </c>
    </row>
    <row r="29" customFormat="false" ht="15" hidden="false" customHeight="true" outlineLevel="0" collapsed="false">
      <c r="A29" s="18" t="s">
        <v>19</v>
      </c>
      <c r="B29" s="20" t="n">
        <f aca="false">COUNTIFS(Veri!B:B,A29,Veri!D:D,"OLUMLU")</f>
        <v>24</v>
      </c>
      <c r="C29" s="20" t="n">
        <f aca="false">COUNTIFS(Veri!B:B,A29,Veri!D:D,"OLUMSUZ")</f>
        <v>25</v>
      </c>
      <c r="D29" s="20" t="n">
        <f aca="false">B29+C29</f>
        <v>49</v>
      </c>
    </row>
    <row r="30" customFormat="false" ht="15" hidden="false" customHeight="true" outlineLevel="0" collapsed="false">
      <c r="A30" s="22" t="s">
        <v>238</v>
      </c>
      <c r="B30" s="23" t="n">
        <f aca="false">SUM(B27:B28)</f>
        <v>66</v>
      </c>
      <c r="C30" s="23" t="n">
        <f aca="false">SUM(C27:C28)</f>
        <v>83</v>
      </c>
      <c r="D30" s="23" t="n">
        <f aca="false">SUM(D27:D29)</f>
        <v>198</v>
      </c>
    </row>
    <row r="31" customFormat="false" ht="15" hidden="false" customHeight="true" outlineLevel="0" collapsed="false">
      <c r="A31" s="22"/>
      <c r="B31" s="23"/>
      <c r="C31" s="23"/>
      <c r="D31" s="23"/>
    </row>
    <row r="32" customFormat="false" ht="15.75" hidden="false" customHeight="true" outlineLevel="0" collapsed="false">
      <c r="A32" s="10"/>
      <c r="B32" s="10"/>
      <c r="C32" s="10"/>
      <c r="D32" s="10"/>
    </row>
    <row r="33" customFormat="false" ht="15.75" hidden="false" customHeight="true" outlineLevel="0" collapsed="false">
      <c r="A33" s="10"/>
      <c r="B33" s="10"/>
      <c r="C33" s="10"/>
      <c r="D33" s="10"/>
    </row>
    <row r="34" customFormat="false" ht="15.75" hidden="false" customHeight="true" outlineLevel="0" collapsed="false">
      <c r="A34" s="10"/>
      <c r="B34" s="10"/>
      <c r="C34" s="10"/>
      <c r="D34" s="10"/>
    </row>
    <row r="35" customFormat="false" ht="15.75" hidden="false" customHeight="true" outlineLevel="0" collapsed="false">
      <c r="A35" s="10"/>
      <c r="B35" s="10"/>
      <c r="C35" s="10"/>
      <c r="D35" s="10"/>
    </row>
    <row r="36" customFormat="false" ht="15.75" hidden="false" customHeight="true" outlineLevel="0" collapsed="false">
      <c r="A36" s="10"/>
      <c r="B36" s="10"/>
      <c r="C36" s="10"/>
      <c r="D36" s="10"/>
    </row>
    <row r="37" customFormat="false" ht="15.75" hidden="false" customHeight="true" outlineLevel="0" collapsed="false">
      <c r="A37" s="10"/>
      <c r="B37" s="10"/>
      <c r="C37" s="10"/>
      <c r="D37" s="10"/>
    </row>
    <row r="38" customFormat="false" ht="15.75" hidden="false" customHeight="true" outlineLevel="0" collapsed="false">
      <c r="A38" s="10"/>
      <c r="B38" s="10"/>
      <c r="C38" s="10"/>
      <c r="D38" s="10"/>
    </row>
    <row r="39" customFormat="false" ht="15.75" hidden="false" customHeight="true" outlineLevel="0" collapsed="false">
      <c r="A39" s="10"/>
      <c r="B39" s="10"/>
      <c r="C39" s="10"/>
      <c r="D39" s="10"/>
    </row>
    <row r="40" customFormat="false" ht="15.75" hidden="false" customHeight="true" outlineLevel="0" collapsed="false">
      <c r="A40" s="10"/>
      <c r="B40" s="10"/>
      <c r="C40" s="10"/>
      <c r="D40" s="10"/>
    </row>
    <row r="41" customFormat="false" ht="15.75" hidden="false" customHeight="true" outlineLevel="0" collapsed="false">
      <c r="A41" s="10"/>
      <c r="B41" s="10"/>
      <c r="C41" s="10"/>
      <c r="D41" s="10"/>
    </row>
    <row r="42" customFormat="false" ht="15.75" hidden="false" customHeight="true" outlineLevel="0" collapsed="false">
      <c r="A42" s="10"/>
      <c r="B42" s="10"/>
      <c r="C42" s="10"/>
      <c r="D42" s="10"/>
    </row>
    <row r="43" customFormat="false" ht="15.75" hidden="false" customHeight="true" outlineLevel="0" collapsed="false">
      <c r="A43" s="10"/>
      <c r="B43" s="10"/>
      <c r="C43" s="10"/>
      <c r="D43" s="10"/>
    </row>
    <row r="44" customFormat="false" ht="15.75" hidden="false" customHeight="true" outlineLevel="0" collapsed="false">
      <c r="A44" s="10"/>
      <c r="B44" s="10"/>
      <c r="C44" s="10"/>
      <c r="D44" s="10"/>
    </row>
    <row r="45" customFormat="false" ht="15.75" hidden="false" customHeight="true" outlineLevel="0" collapsed="false">
      <c r="A45" s="10"/>
      <c r="B45" s="10"/>
      <c r="C45" s="10"/>
      <c r="D45" s="10"/>
    </row>
    <row r="46" customFormat="false" ht="15.75" hidden="false" customHeight="true" outlineLevel="0" collapsed="false">
      <c r="A46" s="10"/>
      <c r="B46" s="10"/>
      <c r="C46" s="10"/>
      <c r="D46" s="10"/>
    </row>
    <row r="47" customFormat="false" ht="15.75" hidden="false" customHeight="true" outlineLevel="0" collapsed="false">
      <c r="A47" s="10"/>
      <c r="B47" s="10"/>
      <c r="C47" s="10"/>
      <c r="D47" s="10"/>
    </row>
    <row r="48" customFormat="false" ht="15.75" hidden="false" customHeight="true" outlineLevel="0" collapsed="false">
      <c r="A48" s="10"/>
      <c r="B48" s="10"/>
      <c r="C48" s="10"/>
      <c r="D48" s="10"/>
    </row>
    <row r="49" customFormat="false" ht="15.75" hidden="false" customHeight="true" outlineLevel="0" collapsed="false">
      <c r="A49" s="10"/>
      <c r="B49" s="10"/>
      <c r="C49" s="10"/>
      <c r="D49" s="10"/>
    </row>
    <row r="50" customFormat="false" ht="15.75" hidden="false" customHeight="true" outlineLevel="0" collapsed="false">
      <c r="A50" s="10"/>
      <c r="B50" s="10"/>
      <c r="C50" s="10"/>
      <c r="D50" s="10"/>
    </row>
    <row r="51" customFormat="false" ht="15.75" hidden="false" customHeight="true" outlineLevel="0" collapsed="false">
      <c r="A51" s="10"/>
      <c r="B51" s="10"/>
      <c r="C51" s="10"/>
      <c r="D51" s="10"/>
    </row>
    <row r="52" customFormat="false" ht="15.75" hidden="false" customHeight="true" outlineLevel="0" collapsed="false">
      <c r="A52" s="10"/>
      <c r="B52" s="10"/>
      <c r="C52" s="10"/>
      <c r="D52" s="10"/>
    </row>
    <row r="53" customFormat="false" ht="15.75" hidden="false" customHeight="true" outlineLevel="0" collapsed="false">
      <c r="A53" s="10"/>
      <c r="B53" s="10"/>
      <c r="C53" s="10"/>
      <c r="D53" s="10"/>
    </row>
    <row r="54" customFormat="false" ht="15.75" hidden="false" customHeight="true" outlineLevel="0" collapsed="false">
      <c r="A54" s="10"/>
      <c r="B54" s="10"/>
      <c r="C54" s="10"/>
      <c r="D54" s="10"/>
    </row>
    <row r="55" customFormat="false" ht="15.75" hidden="false" customHeight="true" outlineLevel="0" collapsed="false">
      <c r="A55" s="10"/>
      <c r="B55" s="10"/>
      <c r="C55" s="10"/>
      <c r="D55" s="10"/>
    </row>
    <row r="56" customFormat="false" ht="15.75" hidden="false" customHeight="true" outlineLevel="0" collapsed="false">
      <c r="A56" s="10"/>
      <c r="B56" s="10"/>
      <c r="C56" s="10"/>
      <c r="D56" s="10"/>
    </row>
    <row r="57" customFormat="false" ht="15.75" hidden="false" customHeight="true" outlineLevel="0" collapsed="false">
      <c r="A57" s="10"/>
      <c r="B57" s="10"/>
      <c r="C57" s="10"/>
      <c r="D57" s="10"/>
    </row>
    <row r="58" customFormat="false" ht="15.75" hidden="false" customHeight="true" outlineLevel="0" collapsed="false">
      <c r="A58" s="10"/>
      <c r="B58" s="10"/>
      <c r="C58" s="10"/>
      <c r="D58" s="10"/>
    </row>
    <row r="59" customFormat="false" ht="15.75" hidden="false" customHeight="true" outlineLevel="0" collapsed="false">
      <c r="A59" s="10"/>
      <c r="B59" s="10"/>
      <c r="C59" s="10"/>
      <c r="D59" s="10"/>
    </row>
    <row r="60" customFormat="false" ht="15.75" hidden="false" customHeight="true" outlineLevel="0" collapsed="false">
      <c r="A60" s="10"/>
      <c r="B60" s="10"/>
      <c r="C60" s="10"/>
      <c r="D60" s="10"/>
    </row>
    <row r="61" customFormat="false" ht="15.75" hidden="false" customHeight="true" outlineLevel="0" collapsed="false">
      <c r="A61" s="10"/>
      <c r="B61" s="10"/>
      <c r="C61" s="10"/>
      <c r="D61" s="10"/>
    </row>
    <row r="62" customFormat="false" ht="15.75" hidden="false" customHeight="true" outlineLevel="0" collapsed="false">
      <c r="A62" s="10"/>
      <c r="B62" s="10"/>
      <c r="C62" s="10"/>
      <c r="D62" s="10"/>
    </row>
    <row r="63" customFormat="false" ht="15.75" hidden="false" customHeight="true" outlineLevel="0" collapsed="false">
      <c r="A63" s="10"/>
      <c r="B63" s="10"/>
      <c r="C63" s="10"/>
      <c r="D63" s="10"/>
    </row>
    <row r="64" customFormat="false" ht="15.75" hidden="false" customHeight="true" outlineLevel="0" collapsed="false">
      <c r="A64" s="10"/>
      <c r="B64" s="10"/>
      <c r="C64" s="10"/>
      <c r="D64" s="10"/>
    </row>
    <row r="65" customFormat="false" ht="15.75" hidden="false" customHeight="true" outlineLevel="0" collapsed="false">
      <c r="A65" s="10"/>
      <c r="B65" s="10"/>
      <c r="C65" s="10"/>
      <c r="D65" s="10"/>
    </row>
    <row r="66" customFormat="false" ht="15.75" hidden="false" customHeight="true" outlineLevel="0" collapsed="false">
      <c r="A66" s="10"/>
      <c r="B66" s="10"/>
      <c r="C66" s="10"/>
      <c r="D66" s="10"/>
    </row>
    <row r="67" customFormat="false" ht="15.75" hidden="false" customHeight="true" outlineLevel="0" collapsed="false">
      <c r="A67" s="10"/>
      <c r="B67" s="10"/>
      <c r="C67" s="10"/>
      <c r="D67" s="10"/>
    </row>
    <row r="68" customFormat="false" ht="15.75" hidden="false" customHeight="true" outlineLevel="0" collapsed="false">
      <c r="A68" s="10"/>
      <c r="B68" s="10"/>
      <c r="C68" s="10"/>
      <c r="D68" s="10"/>
    </row>
    <row r="69" customFormat="false" ht="15.75" hidden="false" customHeight="true" outlineLevel="0" collapsed="false">
      <c r="A69" s="10"/>
      <c r="B69" s="10"/>
      <c r="C69" s="10"/>
      <c r="D69" s="10"/>
    </row>
    <row r="70" customFormat="false" ht="15.75" hidden="false" customHeight="true" outlineLevel="0" collapsed="false">
      <c r="A70" s="10"/>
      <c r="B70" s="10"/>
      <c r="C70" s="10"/>
      <c r="D70" s="10"/>
    </row>
    <row r="71" customFormat="false" ht="15.75" hidden="false" customHeight="true" outlineLevel="0" collapsed="false">
      <c r="A71" s="10"/>
      <c r="B71" s="10"/>
      <c r="C71" s="10"/>
      <c r="D71" s="10"/>
    </row>
    <row r="72" customFormat="false" ht="15.75" hidden="false" customHeight="true" outlineLevel="0" collapsed="false">
      <c r="A72" s="10"/>
      <c r="B72" s="10"/>
      <c r="C72" s="10"/>
      <c r="D72" s="10"/>
    </row>
    <row r="73" customFormat="false" ht="15.75" hidden="false" customHeight="true" outlineLevel="0" collapsed="false">
      <c r="A73" s="10"/>
      <c r="B73" s="10"/>
      <c r="C73" s="10"/>
      <c r="D73" s="10"/>
    </row>
    <row r="74" customFormat="false" ht="15.75" hidden="false" customHeight="true" outlineLevel="0" collapsed="false">
      <c r="A74" s="10"/>
      <c r="B74" s="10"/>
      <c r="C74" s="10"/>
      <c r="D74" s="10"/>
    </row>
    <row r="75" customFormat="false" ht="15.75" hidden="false" customHeight="true" outlineLevel="0" collapsed="false">
      <c r="A75" s="10"/>
      <c r="B75" s="10"/>
      <c r="C75" s="10"/>
      <c r="D75" s="10"/>
    </row>
    <row r="76" customFormat="false" ht="15.75" hidden="false" customHeight="true" outlineLevel="0" collapsed="false">
      <c r="A76" s="10"/>
      <c r="B76" s="10"/>
      <c r="C76" s="10"/>
      <c r="D76" s="10"/>
    </row>
    <row r="77" customFormat="false" ht="15.75" hidden="false" customHeight="true" outlineLevel="0" collapsed="false">
      <c r="A77" s="10"/>
      <c r="B77" s="10"/>
      <c r="C77" s="10"/>
      <c r="D77" s="10"/>
    </row>
    <row r="78" customFormat="false" ht="15.75" hidden="false" customHeight="true" outlineLevel="0" collapsed="false">
      <c r="A78" s="10"/>
      <c r="B78" s="10"/>
      <c r="C78" s="10"/>
      <c r="D78" s="10"/>
    </row>
    <row r="79" customFormat="false" ht="15.75" hidden="false" customHeight="true" outlineLevel="0" collapsed="false">
      <c r="A79" s="10"/>
      <c r="B79" s="10"/>
      <c r="C79" s="10"/>
      <c r="D79" s="10"/>
    </row>
    <row r="80" customFormat="false" ht="15.75" hidden="false" customHeight="true" outlineLevel="0" collapsed="false">
      <c r="A80" s="10"/>
      <c r="B80" s="10"/>
      <c r="C80" s="10"/>
      <c r="D80" s="10"/>
    </row>
    <row r="81" customFormat="false" ht="15.75" hidden="false" customHeight="true" outlineLevel="0" collapsed="false">
      <c r="A81" s="10"/>
      <c r="B81" s="10"/>
      <c r="C81" s="10"/>
      <c r="D81" s="10"/>
    </row>
    <row r="82" customFormat="false" ht="15.75" hidden="false" customHeight="true" outlineLevel="0" collapsed="false">
      <c r="A82" s="10"/>
      <c r="B82" s="10"/>
      <c r="C82" s="10"/>
      <c r="D82" s="10"/>
    </row>
    <row r="83" customFormat="false" ht="15.75" hidden="false" customHeight="true" outlineLevel="0" collapsed="false">
      <c r="A83" s="10"/>
      <c r="B83" s="10"/>
      <c r="C83" s="10"/>
      <c r="D83" s="10"/>
    </row>
    <row r="84" customFormat="false" ht="15.75" hidden="false" customHeight="true" outlineLevel="0" collapsed="false">
      <c r="A84" s="10"/>
      <c r="B84" s="10"/>
      <c r="C84" s="10"/>
      <c r="D84" s="10"/>
    </row>
    <row r="85" customFormat="false" ht="15.75" hidden="false" customHeight="true" outlineLevel="0" collapsed="false">
      <c r="A85" s="10"/>
      <c r="B85" s="10"/>
      <c r="C85" s="10"/>
      <c r="D85" s="10"/>
    </row>
    <row r="86" customFormat="false" ht="15.75" hidden="false" customHeight="true" outlineLevel="0" collapsed="false">
      <c r="A86" s="10"/>
      <c r="B86" s="10"/>
      <c r="C86" s="10"/>
      <c r="D86" s="10"/>
    </row>
    <row r="87" customFormat="false" ht="15.75" hidden="false" customHeight="true" outlineLevel="0" collapsed="false">
      <c r="A87" s="10"/>
      <c r="B87" s="10"/>
      <c r="C87" s="10"/>
      <c r="D87" s="10"/>
    </row>
    <row r="88" customFormat="false" ht="15.75" hidden="false" customHeight="true" outlineLevel="0" collapsed="false">
      <c r="A88" s="10"/>
      <c r="B88" s="10"/>
      <c r="C88" s="10"/>
      <c r="D88" s="10"/>
    </row>
    <row r="89" customFormat="false" ht="15.75" hidden="false" customHeight="true" outlineLevel="0" collapsed="false">
      <c r="A89" s="10"/>
      <c r="B89" s="10"/>
      <c r="C89" s="10"/>
      <c r="D89" s="10"/>
    </row>
    <row r="90" customFormat="false" ht="15.75" hidden="false" customHeight="true" outlineLevel="0" collapsed="false">
      <c r="A90" s="10"/>
      <c r="B90" s="10"/>
      <c r="C90" s="10"/>
      <c r="D90" s="10"/>
    </row>
    <row r="91" customFormat="false" ht="15.75" hidden="false" customHeight="true" outlineLevel="0" collapsed="false">
      <c r="A91" s="10"/>
      <c r="B91" s="10"/>
      <c r="C91" s="10"/>
      <c r="D91" s="10"/>
    </row>
    <row r="92" customFormat="false" ht="15.75" hidden="false" customHeight="true" outlineLevel="0" collapsed="false">
      <c r="A92" s="10"/>
      <c r="B92" s="10"/>
      <c r="C92" s="10"/>
      <c r="D92" s="10"/>
    </row>
    <row r="93" customFormat="false" ht="15.75" hidden="false" customHeight="true" outlineLevel="0" collapsed="false">
      <c r="A93" s="10"/>
      <c r="B93" s="10"/>
      <c r="C93" s="10"/>
      <c r="D93" s="10"/>
    </row>
    <row r="94" customFormat="false" ht="15.75" hidden="false" customHeight="true" outlineLevel="0" collapsed="false">
      <c r="A94" s="10"/>
      <c r="B94" s="10"/>
      <c r="C94" s="10"/>
      <c r="D94" s="10"/>
    </row>
    <row r="95" customFormat="false" ht="15.75" hidden="false" customHeight="true" outlineLevel="0" collapsed="false">
      <c r="A95" s="10"/>
      <c r="B95" s="10"/>
      <c r="C95" s="10"/>
      <c r="D95" s="10"/>
    </row>
    <row r="96" customFormat="false" ht="15.75" hidden="false" customHeight="true" outlineLevel="0" collapsed="false">
      <c r="A96" s="10"/>
      <c r="B96" s="10"/>
      <c r="C96" s="10"/>
      <c r="D96" s="10"/>
    </row>
    <row r="97" customFormat="false" ht="15.75" hidden="false" customHeight="true" outlineLevel="0" collapsed="false">
      <c r="A97" s="10"/>
      <c r="B97" s="10"/>
      <c r="C97" s="10"/>
      <c r="D97" s="10"/>
    </row>
    <row r="98" customFormat="false" ht="15.75" hidden="false" customHeight="true" outlineLevel="0" collapsed="false">
      <c r="A98" s="10"/>
      <c r="B98" s="10"/>
      <c r="C98" s="10"/>
      <c r="D98" s="10"/>
    </row>
    <row r="99" customFormat="false" ht="15.75" hidden="false" customHeight="true" outlineLevel="0" collapsed="false">
      <c r="A99" s="10"/>
      <c r="B99" s="10"/>
      <c r="C99" s="10"/>
      <c r="D99" s="10"/>
    </row>
    <row r="100" customFormat="false" ht="15.75" hidden="false" customHeight="true" outlineLevel="0" collapsed="false">
      <c r="A100" s="10"/>
      <c r="B100" s="10"/>
      <c r="C100" s="10"/>
      <c r="D100" s="10"/>
    </row>
    <row r="101" customFormat="false" ht="15.75" hidden="false" customHeight="true" outlineLevel="0" collapsed="false">
      <c r="A101" s="10"/>
      <c r="B101" s="10"/>
      <c r="C101" s="10"/>
      <c r="D101" s="10"/>
    </row>
    <row r="102" customFormat="false" ht="15.75" hidden="false" customHeight="true" outlineLevel="0" collapsed="false">
      <c r="A102" s="10"/>
      <c r="B102" s="10"/>
      <c r="C102" s="10"/>
      <c r="D102" s="10"/>
    </row>
    <row r="103" customFormat="false" ht="15.75" hidden="false" customHeight="true" outlineLevel="0" collapsed="false">
      <c r="A103" s="10"/>
      <c r="B103" s="10"/>
      <c r="C103" s="10"/>
      <c r="D103" s="10"/>
    </row>
    <row r="104" customFormat="false" ht="15.75" hidden="false" customHeight="true" outlineLevel="0" collapsed="false">
      <c r="A104" s="10"/>
      <c r="B104" s="10"/>
      <c r="C104" s="10"/>
      <c r="D104" s="10"/>
    </row>
    <row r="105" customFormat="false" ht="15.75" hidden="false" customHeight="true" outlineLevel="0" collapsed="false">
      <c r="A105" s="10"/>
      <c r="B105" s="10"/>
      <c r="C105" s="10"/>
      <c r="D105" s="10"/>
    </row>
    <row r="106" customFormat="false" ht="15.75" hidden="false" customHeight="true" outlineLevel="0" collapsed="false">
      <c r="A106" s="10"/>
      <c r="B106" s="10"/>
      <c r="C106" s="10"/>
      <c r="D106" s="10"/>
    </row>
    <row r="107" customFormat="false" ht="15.75" hidden="false" customHeight="true" outlineLevel="0" collapsed="false">
      <c r="A107" s="10"/>
      <c r="B107" s="10"/>
      <c r="C107" s="10"/>
      <c r="D107" s="10"/>
    </row>
    <row r="108" customFormat="false" ht="15.75" hidden="false" customHeight="true" outlineLevel="0" collapsed="false">
      <c r="A108" s="10"/>
      <c r="B108" s="10"/>
      <c r="C108" s="10"/>
      <c r="D108" s="10"/>
    </row>
    <row r="109" customFormat="false" ht="15.75" hidden="false" customHeight="true" outlineLevel="0" collapsed="false">
      <c r="A109" s="10"/>
      <c r="B109" s="10"/>
      <c r="C109" s="10"/>
      <c r="D109" s="10"/>
    </row>
    <row r="110" customFormat="false" ht="15.75" hidden="false" customHeight="true" outlineLevel="0" collapsed="false">
      <c r="A110" s="10"/>
      <c r="B110" s="10"/>
      <c r="C110" s="10"/>
      <c r="D110" s="10"/>
    </row>
    <row r="111" customFormat="false" ht="15.75" hidden="false" customHeight="true" outlineLevel="0" collapsed="false">
      <c r="A111" s="10"/>
      <c r="B111" s="10"/>
      <c r="C111" s="10"/>
      <c r="D111" s="10"/>
    </row>
    <row r="112" customFormat="false" ht="15.75" hidden="false" customHeight="true" outlineLevel="0" collapsed="false">
      <c r="A112" s="10"/>
      <c r="B112" s="10"/>
      <c r="C112" s="10"/>
      <c r="D112" s="10"/>
    </row>
    <row r="113" customFormat="false" ht="15.75" hidden="false" customHeight="true" outlineLevel="0" collapsed="false">
      <c r="A113" s="10"/>
      <c r="B113" s="10"/>
      <c r="C113" s="10"/>
      <c r="D113" s="10"/>
    </row>
    <row r="114" customFormat="false" ht="15.75" hidden="false" customHeight="true" outlineLevel="0" collapsed="false">
      <c r="A114" s="10"/>
      <c r="B114" s="10"/>
      <c r="C114" s="10"/>
      <c r="D114" s="10"/>
    </row>
    <row r="115" customFormat="false" ht="15.75" hidden="false" customHeight="true" outlineLevel="0" collapsed="false">
      <c r="A115" s="10"/>
      <c r="B115" s="10"/>
      <c r="C115" s="10"/>
      <c r="D115" s="10"/>
    </row>
    <row r="116" customFormat="false" ht="15.75" hidden="false" customHeight="true" outlineLevel="0" collapsed="false">
      <c r="A116" s="10"/>
      <c r="B116" s="10"/>
      <c r="C116" s="10"/>
      <c r="D116" s="10"/>
    </row>
    <row r="117" customFormat="false" ht="15.75" hidden="false" customHeight="true" outlineLevel="0" collapsed="false">
      <c r="A117" s="10"/>
      <c r="B117" s="10"/>
      <c r="C117" s="10"/>
      <c r="D117" s="10"/>
    </row>
    <row r="118" customFormat="false" ht="15.75" hidden="false" customHeight="true" outlineLevel="0" collapsed="false">
      <c r="A118" s="10"/>
      <c r="B118" s="10"/>
      <c r="C118" s="10"/>
      <c r="D118" s="10"/>
    </row>
    <row r="119" customFormat="false" ht="15.75" hidden="false" customHeight="true" outlineLevel="0" collapsed="false">
      <c r="A119" s="10"/>
      <c r="B119" s="10"/>
      <c r="C119" s="10"/>
      <c r="D119" s="10"/>
    </row>
    <row r="120" customFormat="false" ht="15.75" hidden="false" customHeight="true" outlineLevel="0" collapsed="false">
      <c r="A120" s="10"/>
      <c r="B120" s="10"/>
      <c r="C120" s="10"/>
      <c r="D120" s="10"/>
    </row>
    <row r="121" customFormat="false" ht="15.75" hidden="false" customHeight="true" outlineLevel="0" collapsed="false">
      <c r="A121" s="10"/>
      <c r="B121" s="10"/>
      <c r="C121" s="10"/>
      <c r="D121" s="10"/>
    </row>
    <row r="122" customFormat="false" ht="15.75" hidden="false" customHeight="true" outlineLevel="0" collapsed="false">
      <c r="A122" s="10"/>
      <c r="B122" s="10"/>
      <c r="C122" s="10"/>
      <c r="D122" s="10"/>
    </row>
    <row r="123" customFormat="false" ht="15.75" hidden="false" customHeight="true" outlineLevel="0" collapsed="false">
      <c r="A123" s="10"/>
      <c r="B123" s="10"/>
      <c r="C123" s="10"/>
      <c r="D123" s="10"/>
    </row>
    <row r="124" customFormat="false" ht="15.75" hidden="false" customHeight="true" outlineLevel="0" collapsed="false">
      <c r="A124" s="10"/>
      <c r="B124" s="10"/>
      <c r="C124" s="10"/>
      <c r="D124" s="10"/>
    </row>
    <row r="125" customFormat="false" ht="15.75" hidden="false" customHeight="true" outlineLevel="0" collapsed="false">
      <c r="A125" s="10"/>
      <c r="B125" s="10"/>
      <c r="C125" s="10"/>
      <c r="D125" s="10"/>
    </row>
    <row r="126" customFormat="false" ht="15.75" hidden="false" customHeight="true" outlineLevel="0" collapsed="false">
      <c r="A126" s="10"/>
      <c r="B126" s="10"/>
      <c r="C126" s="10"/>
      <c r="D126" s="10"/>
    </row>
    <row r="127" customFormat="false" ht="15.75" hidden="false" customHeight="true" outlineLevel="0" collapsed="false">
      <c r="A127" s="10"/>
      <c r="B127" s="10"/>
      <c r="C127" s="10"/>
      <c r="D127" s="10"/>
    </row>
    <row r="128" customFormat="false" ht="15.75" hidden="false" customHeight="true" outlineLevel="0" collapsed="false">
      <c r="A128" s="10"/>
      <c r="B128" s="10"/>
      <c r="C128" s="10"/>
      <c r="D128" s="10"/>
    </row>
    <row r="129" customFormat="false" ht="15.75" hidden="false" customHeight="true" outlineLevel="0" collapsed="false">
      <c r="A129" s="10"/>
      <c r="B129" s="10"/>
      <c r="C129" s="10"/>
      <c r="D129" s="10"/>
    </row>
    <row r="130" customFormat="false" ht="15.75" hidden="false" customHeight="true" outlineLevel="0" collapsed="false">
      <c r="A130" s="10"/>
      <c r="B130" s="10"/>
      <c r="C130" s="10"/>
      <c r="D130" s="10"/>
    </row>
    <row r="131" customFormat="false" ht="15.75" hidden="false" customHeight="true" outlineLevel="0" collapsed="false">
      <c r="A131" s="10"/>
      <c r="B131" s="10"/>
      <c r="C131" s="10"/>
      <c r="D131" s="10"/>
    </row>
    <row r="132" customFormat="false" ht="15.75" hidden="false" customHeight="true" outlineLevel="0" collapsed="false">
      <c r="A132" s="10"/>
      <c r="B132" s="10"/>
      <c r="C132" s="10"/>
      <c r="D132" s="10"/>
    </row>
    <row r="133" customFormat="false" ht="15.75" hidden="false" customHeight="true" outlineLevel="0" collapsed="false">
      <c r="A133" s="10"/>
      <c r="B133" s="10"/>
      <c r="C133" s="10"/>
      <c r="D133" s="10"/>
    </row>
    <row r="134" customFormat="false" ht="15.75" hidden="false" customHeight="true" outlineLevel="0" collapsed="false">
      <c r="A134" s="10"/>
      <c r="B134" s="10"/>
      <c r="C134" s="10"/>
      <c r="D134" s="10"/>
    </row>
    <row r="135" customFormat="false" ht="15.75" hidden="false" customHeight="true" outlineLevel="0" collapsed="false">
      <c r="A135" s="10"/>
      <c r="B135" s="10"/>
      <c r="C135" s="10"/>
      <c r="D135" s="10"/>
    </row>
    <row r="136" customFormat="false" ht="15.75" hidden="false" customHeight="true" outlineLevel="0" collapsed="false">
      <c r="A136" s="10"/>
      <c r="B136" s="10"/>
      <c r="C136" s="10"/>
      <c r="D136" s="10"/>
    </row>
    <row r="137" customFormat="false" ht="15.75" hidden="false" customHeight="true" outlineLevel="0" collapsed="false">
      <c r="A137" s="10"/>
      <c r="B137" s="10"/>
      <c r="C137" s="10"/>
      <c r="D137" s="10"/>
    </row>
    <row r="138" customFormat="false" ht="15.75" hidden="false" customHeight="true" outlineLevel="0" collapsed="false">
      <c r="A138" s="10"/>
      <c r="B138" s="10"/>
      <c r="C138" s="10"/>
      <c r="D138" s="10"/>
    </row>
    <row r="139" customFormat="false" ht="15.75" hidden="false" customHeight="true" outlineLevel="0" collapsed="false">
      <c r="A139" s="10"/>
      <c r="B139" s="10"/>
      <c r="C139" s="10"/>
      <c r="D139" s="10"/>
    </row>
    <row r="140" customFormat="false" ht="15.75" hidden="false" customHeight="true" outlineLevel="0" collapsed="false">
      <c r="A140" s="10"/>
      <c r="B140" s="10"/>
      <c r="C140" s="10"/>
      <c r="D140" s="10"/>
    </row>
    <row r="141" customFormat="false" ht="15.75" hidden="false" customHeight="true" outlineLevel="0" collapsed="false">
      <c r="A141" s="10"/>
      <c r="B141" s="10"/>
      <c r="C141" s="10"/>
      <c r="D141" s="10"/>
    </row>
    <row r="142" customFormat="false" ht="15.75" hidden="false" customHeight="true" outlineLevel="0" collapsed="false">
      <c r="A142" s="10"/>
      <c r="B142" s="10"/>
      <c r="C142" s="10"/>
      <c r="D142" s="10"/>
    </row>
    <row r="143" customFormat="false" ht="15.75" hidden="false" customHeight="true" outlineLevel="0" collapsed="false">
      <c r="A143" s="10"/>
      <c r="B143" s="10"/>
      <c r="C143" s="10"/>
      <c r="D143" s="10"/>
    </row>
    <row r="144" customFormat="false" ht="15.75" hidden="false" customHeight="true" outlineLevel="0" collapsed="false">
      <c r="A144" s="10"/>
      <c r="B144" s="10"/>
      <c r="C144" s="10"/>
      <c r="D144" s="10"/>
    </row>
    <row r="145" customFormat="false" ht="15.75" hidden="false" customHeight="true" outlineLevel="0" collapsed="false">
      <c r="A145" s="10"/>
      <c r="B145" s="10"/>
      <c r="C145" s="10"/>
      <c r="D145" s="10"/>
    </row>
    <row r="146" customFormat="false" ht="15.75" hidden="false" customHeight="true" outlineLevel="0" collapsed="false">
      <c r="A146" s="10"/>
      <c r="B146" s="10"/>
      <c r="C146" s="10"/>
      <c r="D146" s="10"/>
    </row>
    <row r="147" customFormat="false" ht="15.75" hidden="false" customHeight="true" outlineLevel="0" collapsed="false">
      <c r="A147" s="10"/>
      <c r="B147" s="10"/>
      <c r="C147" s="10"/>
      <c r="D147" s="10"/>
    </row>
    <row r="148" customFormat="false" ht="15.75" hidden="false" customHeight="true" outlineLevel="0" collapsed="false">
      <c r="A148" s="10"/>
      <c r="B148" s="10"/>
      <c r="C148" s="10"/>
      <c r="D148" s="10"/>
    </row>
    <row r="149" customFormat="false" ht="15.75" hidden="false" customHeight="true" outlineLevel="0" collapsed="false">
      <c r="A149" s="10"/>
      <c r="B149" s="10"/>
      <c r="C149" s="10"/>
      <c r="D149" s="10"/>
    </row>
    <row r="150" customFormat="false" ht="15.75" hidden="false" customHeight="true" outlineLevel="0" collapsed="false">
      <c r="A150" s="10"/>
      <c r="B150" s="10"/>
      <c r="C150" s="10"/>
      <c r="D150" s="10"/>
    </row>
    <row r="151" customFormat="false" ht="15.75" hidden="false" customHeight="true" outlineLevel="0" collapsed="false">
      <c r="A151" s="10"/>
      <c r="B151" s="10"/>
      <c r="C151" s="10"/>
      <c r="D151" s="10"/>
    </row>
    <row r="152" customFormat="false" ht="15.75" hidden="false" customHeight="true" outlineLevel="0" collapsed="false">
      <c r="A152" s="10"/>
      <c r="B152" s="10"/>
      <c r="C152" s="10"/>
      <c r="D152" s="10"/>
    </row>
    <row r="153" customFormat="false" ht="15.75" hidden="false" customHeight="true" outlineLevel="0" collapsed="false">
      <c r="A153" s="10"/>
      <c r="B153" s="10"/>
      <c r="C153" s="10"/>
      <c r="D153" s="10"/>
    </row>
    <row r="154" customFormat="false" ht="15.75" hidden="false" customHeight="true" outlineLevel="0" collapsed="false">
      <c r="A154" s="10"/>
      <c r="B154" s="10"/>
      <c r="C154" s="10"/>
      <c r="D154" s="10"/>
    </row>
    <row r="155" customFormat="false" ht="15.75" hidden="false" customHeight="true" outlineLevel="0" collapsed="false">
      <c r="A155" s="10"/>
      <c r="B155" s="10"/>
      <c r="C155" s="10"/>
      <c r="D155" s="10"/>
    </row>
    <row r="156" customFormat="false" ht="15.75" hidden="false" customHeight="true" outlineLevel="0" collapsed="false">
      <c r="A156" s="10"/>
      <c r="B156" s="10"/>
      <c r="C156" s="10"/>
      <c r="D156" s="10"/>
    </row>
    <row r="157" customFormat="false" ht="15.75" hidden="false" customHeight="true" outlineLevel="0" collapsed="false">
      <c r="A157" s="10"/>
      <c r="B157" s="10"/>
      <c r="C157" s="10"/>
      <c r="D157" s="10"/>
    </row>
    <row r="158" customFormat="false" ht="15.75" hidden="false" customHeight="true" outlineLevel="0" collapsed="false">
      <c r="A158" s="10"/>
      <c r="B158" s="10"/>
      <c r="C158" s="10"/>
      <c r="D158" s="10"/>
    </row>
    <row r="159" customFormat="false" ht="15.75" hidden="false" customHeight="true" outlineLevel="0" collapsed="false">
      <c r="A159" s="10"/>
      <c r="B159" s="10"/>
      <c r="C159" s="10"/>
      <c r="D159" s="10"/>
    </row>
    <row r="160" customFormat="false" ht="15.75" hidden="false" customHeight="true" outlineLevel="0" collapsed="false">
      <c r="A160" s="10"/>
      <c r="B160" s="10"/>
      <c r="C160" s="10"/>
      <c r="D160" s="10"/>
    </row>
    <row r="161" customFormat="false" ht="15.75" hidden="false" customHeight="true" outlineLevel="0" collapsed="false">
      <c r="A161" s="10"/>
      <c r="B161" s="10"/>
      <c r="C161" s="10"/>
      <c r="D161" s="10"/>
    </row>
    <row r="162" customFormat="false" ht="15.75" hidden="false" customHeight="true" outlineLevel="0" collapsed="false">
      <c r="A162" s="10"/>
      <c r="B162" s="10"/>
      <c r="C162" s="10"/>
      <c r="D162" s="10"/>
    </row>
    <row r="163" customFormat="false" ht="15.75" hidden="false" customHeight="true" outlineLevel="0" collapsed="false">
      <c r="A163" s="10"/>
      <c r="B163" s="10"/>
      <c r="C163" s="10"/>
      <c r="D163" s="10"/>
    </row>
    <row r="164" customFormat="false" ht="15.75" hidden="false" customHeight="true" outlineLevel="0" collapsed="false">
      <c r="A164" s="10"/>
      <c r="B164" s="10"/>
      <c r="C164" s="10"/>
      <c r="D164" s="10"/>
    </row>
    <row r="165" customFormat="false" ht="15.75" hidden="false" customHeight="true" outlineLevel="0" collapsed="false">
      <c r="A165" s="10"/>
      <c r="B165" s="10"/>
      <c r="C165" s="10"/>
      <c r="D165" s="10"/>
    </row>
    <row r="166" customFormat="false" ht="15.75" hidden="false" customHeight="true" outlineLevel="0" collapsed="false">
      <c r="A166" s="10"/>
      <c r="B166" s="10"/>
      <c r="C166" s="10"/>
      <c r="D166" s="10"/>
    </row>
    <row r="167" customFormat="false" ht="15.75" hidden="false" customHeight="true" outlineLevel="0" collapsed="false">
      <c r="A167" s="10"/>
      <c r="B167" s="10"/>
      <c r="C167" s="10"/>
      <c r="D167" s="10"/>
    </row>
    <row r="168" customFormat="false" ht="15.75" hidden="false" customHeight="true" outlineLevel="0" collapsed="false">
      <c r="A168" s="10"/>
      <c r="B168" s="10"/>
      <c r="C168" s="10"/>
      <c r="D168" s="10"/>
    </row>
    <row r="169" customFormat="false" ht="15.75" hidden="false" customHeight="true" outlineLevel="0" collapsed="false">
      <c r="A169" s="10"/>
      <c r="B169" s="10"/>
      <c r="C169" s="10"/>
      <c r="D169" s="10"/>
    </row>
    <row r="170" customFormat="false" ht="15.75" hidden="false" customHeight="true" outlineLevel="0" collapsed="false">
      <c r="A170" s="10"/>
      <c r="B170" s="10"/>
      <c r="C170" s="10"/>
      <c r="D170" s="10"/>
    </row>
    <row r="171" customFormat="false" ht="15.75" hidden="false" customHeight="true" outlineLevel="0" collapsed="false">
      <c r="A171" s="10"/>
      <c r="B171" s="10"/>
      <c r="C171" s="10"/>
      <c r="D171" s="10"/>
    </row>
    <row r="172" customFormat="false" ht="15.75" hidden="false" customHeight="true" outlineLevel="0" collapsed="false">
      <c r="A172" s="10"/>
      <c r="B172" s="10"/>
      <c r="C172" s="10"/>
      <c r="D172" s="10"/>
    </row>
    <row r="173" customFormat="false" ht="15.75" hidden="false" customHeight="true" outlineLevel="0" collapsed="false">
      <c r="A173" s="10"/>
      <c r="B173" s="10"/>
      <c r="C173" s="10"/>
      <c r="D173" s="10"/>
    </row>
    <row r="174" customFormat="false" ht="15.75" hidden="false" customHeight="true" outlineLevel="0" collapsed="false">
      <c r="A174" s="10"/>
      <c r="B174" s="10"/>
      <c r="C174" s="10"/>
      <c r="D174" s="10"/>
    </row>
    <row r="175" customFormat="false" ht="15.75" hidden="false" customHeight="true" outlineLevel="0" collapsed="false">
      <c r="A175" s="10"/>
      <c r="B175" s="10"/>
      <c r="C175" s="10"/>
      <c r="D175" s="10"/>
    </row>
    <row r="176" customFormat="false" ht="15.75" hidden="false" customHeight="true" outlineLevel="0" collapsed="false">
      <c r="A176" s="10"/>
      <c r="B176" s="10"/>
      <c r="C176" s="10"/>
      <c r="D176" s="10"/>
    </row>
    <row r="177" customFormat="false" ht="15.75" hidden="false" customHeight="true" outlineLevel="0" collapsed="false">
      <c r="A177" s="10"/>
      <c r="B177" s="10"/>
      <c r="C177" s="10"/>
      <c r="D177" s="10"/>
    </row>
    <row r="178" customFormat="false" ht="15.75" hidden="false" customHeight="true" outlineLevel="0" collapsed="false">
      <c r="A178" s="10"/>
      <c r="B178" s="10"/>
      <c r="C178" s="10"/>
      <c r="D178" s="10"/>
    </row>
    <row r="179" customFormat="false" ht="15.75" hidden="false" customHeight="true" outlineLevel="0" collapsed="false">
      <c r="A179" s="10"/>
      <c r="B179" s="10"/>
      <c r="C179" s="10"/>
      <c r="D179" s="10"/>
    </row>
    <row r="180" customFormat="false" ht="15.75" hidden="false" customHeight="true" outlineLevel="0" collapsed="false">
      <c r="A180" s="10"/>
      <c r="B180" s="10"/>
      <c r="C180" s="10"/>
      <c r="D180" s="10"/>
    </row>
    <row r="181" customFormat="false" ht="15.75" hidden="false" customHeight="true" outlineLevel="0" collapsed="false">
      <c r="A181" s="10"/>
      <c r="B181" s="10"/>
      <c r="C181" s="10"/>
      <c r="D181" s="10"/>
    </row>
    <row r="182" customFormat="false" ht="15.75" hidden="false" customHeight="true" outlineLevel="0" collapsed="false">
      <c r="A182" s="10"/>
      <c r="B182" s="10"/>
      <c r="C182" s="10"/>
      <c r="D182" s="10"/>
    </row>
    <row r="183" customFormat="false" ht="15.75" hidden="false" customHeight="true" outlineLevel="0" collapsed="false">
      <c r="A183" s="10"/>
      <c r="B183" s="10"/>
      <c r="C183" s="10"/>
      <c r="D183" s="10"/>
    </row>
    <row r="184" customFormat="false" ht="15.75" hidden="false" customHeight="true" outlineLevel="0" collapsed="false">
      <c r="A184" s="10"/>
      <c r="B184" s="10"/>
      <c r="C184" s="10"/>
      <c r="D184" s="10"/>
    </row>
    <row r="185" customFormat="false" ht="15.75" hidden="false" customHeight="true" outlineLevel="0" collapsed="false">
      <c r="A185" s="10"/>
      <c r="B185" s="10"/>
      <c r="C185" s="10"/>
      <c r="D185" s="10"/>
    </row>
    <row r="186" customFormat="false" ht="15.75" hidden="false" customHeight="true" outlineLevel="0" collapsed="false">
      <c r="A186" s="10"/>
      <c r="B186" s="10"/>
      <c r="C186" s="10"/>
      <c r="D186" s="10"/>
    </row>
    <row r="187" customFormat="false" ht="15.75" hidden="false" customHeight="true" outlineLevel="0" collapsed="false">
      <c r="A187" s="10"/>
      <c r="B187" s="10"/>
      <c r="C187" s="10"/>
      <c r="D187" s="10"/>
    </row>
    <row r="188" customFormat="false" ht="15.75" hidden="false" customHeight="true" outlineLevel="0" collapsed="false">
      <c r="A188" s="10"/>
      <c r="B188" s="10"/>
      <c r="C188" s="10"/>
      <c r="D188" s="10"/>
    </row>
    <row r="189" customFormat="false" ht="15.75" hidden="false" customHeight="true" outlineLevel="0" collapsed="false">
      <c r="A189" s="10"/>
      <c r="B189" s="10"/>
      <c r="C189" s="10"/>
      <c r="D189" s="10"/>
    </row>
    <row r="190" customFormat="false" ht="15.75" hidden="false" customHeight="true" outlineLevel="0" collapsed="false">
      <c r="A190" s="10"/>
      <c r="B190" s="10"/>
      <c r="C190" s="10"/>
      <c r="D190" s="10"/>
    </row>
    <row r="191" customFormat="false" ht="15.75" hidden="false" customHeight="true" outlineLevel="0" collapsed="false">
      <c r="A191" s="10"/>
      <c r="B191" s="10"/>
      <c r="C191" s="10"/>
      <c r="D191" s="10"/>
    </row>
    <row r="192" customFormat="false" ht="15.75" hidden="false" customHeight="true" outlineLevel="0" collapsed="false">
      <c r="A192" s="10"/>
      <c r="B192" s="10"/>
      <c r="C192" s="10"/>
      <c r="D192" s="10"/>
    </row>
    <row r="193" customFormat="false" ht="15.75" hidden="false" customHeight="true" outlineLevel="0" collapsed="false">
      <c r="A193" s="10"/>
      <c r="B193" s="10"/>
      <c r="C193" s="10"/>
      <c r="D193" s="10"/>
    </row>
    <row r="194" customFormat="false" ht="15.75" hidden="false" customHeight="true" outlineLevel="0" collapsed="false">
      <c r="A194" s="10"/>
      <c r="B194" s="10"/>
      <c r="C194" s="10"/>
      <c r="D194" s="10"/>
    </row>
    <row r="195" customFormat="false" ht="15.75" hidden="false" customHeight="true" outlineLevel="0" collapsed="false">
      <c r="A195" s="10"/>
      <c r="B195" s="10"/>
      <c r="C195" s="10"/>
      <c r="D195" s="10"/>
    </row>
    <row r="196" customFormat="false" ht="15.75" hidden="false" customHeight="true" outlineLevel="0" collapsed="false">
      <c r="A196" s="10"/>
      <c r="B196" s="10"/>
      <c r="C196" s="10"/>
      <c r="D196" s="10"/>
    </row>
    <row r="197" customFormat="false" ht="15.75" hidden="false" customHeight="true" outlineLevel="0" collapsed="false">
      <c r="A197" s="10"/>
      <c r="B197" s="10"/>
      <c r="C197" s="10"/>
      <c r="D197" s="10"/>
    </row>
    <row r="198" customFormat="false" ht="15.75" hidden="false" customHeight="true" outlineLevel="0" collapsed="false">
      <c r="A198" s="10"/>
      <c r="B198" s="10"/>
      <c r="C198" s="10"/>
      <c r="D198" s="10"/>
    </row>
    <row r="199" customFormat="false" ht="15.75" hidden="false" customHeight="true" outlineLevel="0" collapsed="false">
      <c r="A199" s="10"/>
      <c r="B199" s="10"/>
      <c r="C199" s="10"/>
      <c r="D199" s="10"/>
    </row>
    <row r="200" customFormat="false" ht="15.75" hidden="false" customHeight="true" outlineLevel="0" collapsed="false">
      <c r="A200" s="10"/>
      <c r="B200" s="10"/>
      <c r="C200" s="10"/>
      <c r="D200" s="10"/>
    </row>
    <row r="201" customFormat="false" ht="15.75" hidden="false" customHeight="true" outlineLevel="0" collapsed="false">
      <c r="A201" s="10"/>
      <c r="B201" s="10"/>
      <c r="C201" s="10"/>
      <c r="D201" s="10"/>
    </row>
    <row r="202" customFormat="false" ht="15.75" hidden="false" customHeight="true" outlineLevel="0" collapsed="false">
      <c r="A202" s="10"/>
      <c r="B202" s="10"/>
      <c r="C202" s="10"/>
      <c r="D202" s="10"/>
    </row>
    <row r="203" customFormat="false" ht="15.75" hidden="false" customHeight="true" outlineLevel="0" collapsed="false">
      <c r="A203" s="10"/>
      <c r="B203" s="10"/>
      <c r="C203" s="10"/>
      <c r="D203" s="10"/>
    </row>
    <row r="204" customFormat="false" ht="15.75" hidden="false" customHeight="true" outlineLevel="0" collapsed="false">
      <c r="A204" s="10"/>
      <c r="B204" s="10"/>
      <c r="C204" s="10"/>
      <c r="D204" s="10"/>
    </row>
    <row r="205" customFormat="false" ht="15.75" hidden="false" customHeight="true" outlineLevel="0" collapsed="false">
      <c r="A205" s="10"/>
      <c r="B205" s="10"/>
      <c r="C205" s="10"/>
      <c r="D205" s="10"/>
    </row>
    <row r="206" customFormat="false" ht="15.75" hidden="false" customHeight="true" outlineLevel="0" collapsed="false">
      <c r="A206" s="10"/>
      <c r="B206" s="10"/>
      <c r="C206" s="10"/>
      <c r="D206" s="10"/>
    </row>
    <row r="207" customFormat="false" ht="15.75" hidden="false" customHeight="true" outlineLevel="0" collapsed="false">
      <c r="A207" s="10"/>
      <c r="B207" s="10"/>
      <c r="C207" s="10"/>
      <c r="D207" s="10"/>
    </row>
    <row r="208" customFormat="false" ht="15.75" hidden="false" customHeight="true" outlineLevel="0" collapsed="false">
      <c r="A208" s="10"/>
      <c r="B208" s="10"/>
      <c r="C208" s="10"/>
      <c r="D208" s="10"/>
    </row>
    <row r="209" customFormat="false" ht="15.75" hidden="false" customHeight="true" outlineLevel="0" collapsed="false">
      <c r="A209" s="10"/>
      <c r="B209" s="10"/>
      <c r="C209" s="10"/>
      <c r="D209" s="10"/>
    </row>
    <row r="210" customFormat="false" ht="15.75" hidden="false" customHeight="true" outlineLevel="0" collapsed="false">
      <c r="A210" s="10"/>
      <c r="B210" s="10"/>
      <c r="C210" s="10"/>
      <c r="D210" s="10"/>
    </row>
    <row r="211" customFormat="false" ht="15.75" hidden="false" customHeight="true" outlineLevel="0" collapsed="false">
      <c r="A211" s="10"/>
      <c r="B211" s="10"/>
      <c r="C211" s="10"/>
      <c r="D211" s="10"/>
    </row>
    <row r="212" customFormat="false" ht="15.75" hidden="false" customHeight="true" outlineLevel="0" collapsed="false">
      <c r="A212" s="10"/>
      <c r="B212" s="10"/>
      <c r="C212" s="10"/>
      <c r="D212" s="10"/>
    </row>
    <row r="213" customFormat="false" ht="15.75" hidden="false" customHeight="true" outlineLevel="0" collapsed="false">
      <c r="A213" s="10"/>
      <c r="B213" s="10"/>
      <c r="C213" s="10"/>
      <c r="D213" s="10"/>
    </row>
    <row r="214" customFormat="false" ht="15.75" hidden="false" customHeight="true" outlineLevel="0" collapsed="false">
      <c r="A214" s="10"/>
      <c r="B214" s="10"/>
      <c r="C214" s="10"/>
      <c r="D214" s="10"/>
    </row>
    <row r="215" customFormat="false" ht="15.75" hidden="false" customHeight="true" outlineLevel="0" collapsed="false">
      <c r="A215" s="10"/>
      <c r="B215" s="10"/>
      <c r="C215" s="10"/>
      <c r="D215" s="10"/>
    </row>
    <row r="216" customFormat="false" ht="15.75" hidden="false" customHeight="true" outlineLevel="0" collapsed="false">
      <c r="A216" s="10"/>
      <c r="B216" s="10"/>
      <c r="C216" s="10"/>
      <c r="D216" s="10"/>
    </row>
    <row r="217" customFormat="false" ht="15.75" hidden="false" customHeight="true" outlineLevel="0" collapsed="false">
      <c r="A217" s="10"/>
      <c r="B217" s="10"/>
      <c r="C217" s="10"/>
      <c r="D217" s="10"/>
    </row>
    <row r="218" customFormat="false" ht="15.75" hidden="false" customHeight="true" outlineLevel="0" collapsed="false">
      <c r="A218" s="10"/>
      <c r="B218" s="10"/>
      <c r="C218" s="10"/>
      <c r="D218" s="10"/>
    </row>
    <row r="219" customFormat="false" ht="15.75" hidden="false" customHeight="true" outlineLevel="0" collapsed="false">
      <c r="A219" s="10"/>
      <c r="B219" s="10"/>
      <c r="C219" s="10"/>
      <c r="D219" s="10"/>
    </row>
    <row r="220" customFormat="false" ht="15.75" hidden="false" customHeight="true" outlineLevel="0" collapsed="false">
      <c r="A220" s="10"/>
      <c r="B220" s="10"/>
      <c r="C220" s="10"/>
      <c r="D220" s="10"/>
    </row>
    <row r="221" customFormat="false" ht="15.75" hidden="false" customHeight="true" outlineLevel="0" collapsed="false">
      <c r="A221" s="10"/>
      <c r="B221" s="10"/>
      <c r="C221" s="10"/>
      <c r="D221" s="10"/>
    </row>
    <row r="222" customFormat="false" ht="15.75" hidden="false" customHeight="true" outlineLevel="0" collapsed="false">
      <c r="A222" s="10"/>
      <c r="B222" s="10"/>
      <c r="C222" s="10"/>
      <c r="D222" s="10"/>
    </row>
    <row r="223" customFormat="false" ht="15.75" hidden="false" customHeight="true" outlineLevel="0" collapsed="false">
      <c r="A223" s="10"/>
      <c r="B223" s="10"/>
      <c r="C223" s="10"/>
      <c r="D223" s="10"/>
    </row>
    <row r="224" customFormat="false" ht="15.75" hidden="false" customHeight="true" outlineLevel="0" collapsed="false">
      <c r="A224" s="10"/>
      <c r="B224" s="10"/>
      <c r="C224" s="10"/>
      <c r="D224" s="10"/>
    </row>
    <row r="225" customFormat="false" ht="15.75" hidden="false" customHeight="true" outlineLevel="0" collapsed="false">
      <c r="A225" s="10"/>
      <c r="B225" s="10"/>
      <c r="C225" s="10"/>
      <c r="D225" s="10"/>
    </row>
    <row r="226" customFormat="false" ht="15.75" hidden="false" customHeight="true" outlineLevel="0" collapsed="false">
      <c r="A226" s="10"/>
      <c r="B226" s="10"/>
      <c r="C226" s="10"/>
      <c r="D226" s="10"/>
    </row>
    <row r="227" customFormat="false" ht="15.75" hidden="false" customHeight="true" outlineLevel="0" collapsed="false">
      <c r="A227" s="10"/>
      <c r="B227" s="10"/>
      <c r="C227" s="10"/>
      <c r="D227" s="10"/>
    </row>
    <row r="228" customFormat="false" ht="15.75" hidden="false" customHeight="true" outlineLevel="0" collapsed="false">
      <c r="A228" s="10"/>
      <c r="B228" s="10"/>
      <c r="C228" s="10"/>
      <c r="D228" s="10"/>
    </row>
    <row r="229" customFormat="false" ht="15.75" hidden="false" customHeight="true" outlineLevel="0" collapsed="false">
      <c r="A229" s="10"/>
      <c r="B229" s="10"/>
      <c r="C229" s="10"/>
      <c r="D229" s="10"/>
    </row>
    <row r="230" customFormat="false" ht="15.75" hidden="false" customHeight="true" outlineLevel="0" collapsed="false">
      <c r="A230" s="10"/>
      <c r="B230" s="10"/>
      <c r="C230" s="10"/>
      <c r="D230" s="10"/>
    </row>
    <row r="231" customFormat="false" ht="15.75" hidden="false" customHeight="true" outlineLevel="0" collapsed="false">
      <c r="A231" s="10"/>
      <c r="B231" s="10"/>
      <c r="C231" s="10"/>
      <c r="D231" s="10"/>
    </row>
    <row r="232" customFormat="false" ht="15.75" hidden="false" customHeight="true" outlineLevel="0" collapsed="false">
      <c r="A232" s="10"/>
      <c r="B232" s="10"/>
      <c r="C232" s="10"/>
      <c r="D232" s="10"/>
    </row>
    <row r="233" customFormat="false" ht="15.75" hidden="false" customHeight="true" outlineLevel="0" collapsed="false">
      <c r="A233" s="10"/>
      <c r="B233" s="10"/>
      <c r="C233" s="10"/>
      <c r="D233" s="10"/>
    </row>
    <row r="234" customFormat="false" ht="15.75" hidden="false" customHeight="true" outlineLevel="0" collapsed="false">
      <c r="A234" s="10"/>
      <c r="B234" s="10"/>
      <c r="C234" s="10"/>
      <c r="D234" s="10"/>
    </row>
    <row r="235" customFormat="false" ht="15.75" hidden="false" customHeight="true" outlineLevel="0" collapsed="false">
      <c r="A235" s="10"/>
      <c r="B235" s="10"/>
      <c r="C235" s="10"/>
      <c r="D235" s="10"/>
    </row>
    <row r="236" customFormat="false" ht="15.75" hidden="false" customHeight="true" outlineLevel="0" collapsed="false">
      <c r="A236" s="10"/>
      <c r="B236" s="10"/>
      <c r="C236" s="10"/>
      <c r="D236" s="10"/>
    </row>
    <row r="237" customFormat="false" ht="15.75" hidden="false" customHeight="true" outlineLevel="0" collapsed="false">
      <c r="A237" s="10"/>
      <c r="B237" s="10"/>
      <c r="C237" s="10"/>
      <c r="D237" s="10"/>
    </row>
    <row r="238" customFormat="false" ht="15.75" hidden="false" customHeight="true" outlineLevel="0" collapsed="false">
      <c r="A238" s="10"/>
      <c r="B238" s="10"/>
      <c r="C238" s="10"/>
      <c r="D238" s="10"/>
    </row>
    <row r="239" customFormat="false" ht="15.75" hidden="false" customHeight="true" outlineLevel="0" collapsed="false">
      <c r="A239" s="10"/>
      <c r="B239" s="10"/>
      <c r="C239" s="10"/>
      <c r="D239" s="10"/>
    </row>
    <row r="240" customFormat="false" ht="15.75" hidden="false" customHeight="true" outlineLevel="0" collapsed="false">
      <c r="A240" s="10"/>
      <c r="B240" s="10"/>
      <c r="C240" s="10"/>
      <c r="D240" s="10"/>
    </row>
    <row r="241" customFormat="false" ht="15.75" hidden="false" customHeight="true" outlineLevel="0" collapsed="false">
      <c r="A241" s="10"/>
      <c r="B241" s="10"/>
      <c r="C241" s="10"/>
      <c r="D241" s="10"/>
    </row>
    <row r="242" customFormat="false" ht="15.75" hidden="false" customHeight="true" outlineLevel="0" collapsed="false">
      <c r="A242" s="10"/>
      <c r="B242" s="10"/>
      <c r="C242" s="10"/>
      <c r="D242" s="10"/>
    </row>
    <row r="243" customFormat="false" ht="15.75" hidden="false" customHeight="true" outlineLevel="0" collapsed="false">
      <c r="A243" s="10"/>
      <c r="B243" s="10"/>
      <c r="C243" s="10"/>
      <c r="D243" s="10"/>
    </row>
    <row r="244" customFormat="false" ht="15.75" hidden="false" customHeight="true" outlineLevel="0" collapsed="false">
      <c r="A244" s="10"/>
      <c r="B244" s="10"/>
      <c r="C244" s="10"/>
      <c r="D244" s="10"/>
    </row>
    <row r="245" customFormat="false" ht="15.75" hidden="false" customHeight="true" outlineLevel="0" collapsed="false">
      <c r="A245" s="10"/>
      <c r="B245" s="10"/>
      <c r="C245" s="10"/>
      <c r="D245" s="10"/>
    </row>
    <row r="246" customFormat="false" ht="15.75" hidden="false" customHeight="true" outlineLevel="0" collapsed="false">
      <c r="A246" s="10"/>
      <c r="B246" s="10"/>
      <c r="C246" s="10"/>
      <c r="D246" s="10"/>
    </row>
    <row r="247" customFormat="false" ht="15.75" hidden="false" customHeight="true" outlineLevel="0" collapsed="false">
      <c r="A247" s="10"/>
      <c r="B247" s="10"/>
      <c r="C247" s="10"/>
      <c r="D247" s="10"/>
    </row>
    <row r="248" customFormat="false" ht="15.75" hidden="false" customHeight="true" outlineLevel="0" collapsed="false">
      <c r="A248" s="10"/>
      <c r="B248" s="10"/>
      <c r="C248" s="10"/>
      <c r="D248" s="10"/>
    </row>
    <row r="249" customFormat="false" ht="15.75" hidden="false" customHeight="true" outlineLevel="0" collapsed="false">
      <c r="A249" s="10"/>
      <c r="B249" s="10"/>
      <c r="C249" s="10"/>
      <c r="D249" s="10"/>
    </row>
    <row r="250" customFormat="false" ht="15.75" hidden="false" customHeight="true" outlineLevel="0" collapsed="false">
      <c r="A250" s="10"/>
      <c r="B250" s="10"/>
      <c r="C250" s="10"/>
      <c r="D250" s="10"/>
    </row>
    <row r="251" customFormat="false" ht="15.75" hidden="false" customHeight="true" outlineLevel="0" collapsed="false">
      <c r="A251" s="10"/>
      <c r="B251" s="10"/>
      <c r="C251" s="10"/>
      <c r="D251" s="10"/>
    </row>
    <row r="252" customFormat="false" ht="15.75" hidden="false" customHeight="true" outlineLevel="0" collapsed="false">
      <c r="A252" s="10"/>
      <c r="B252" s="10"/>
      <c r="C252" s="10"/>
      <c r="D252" s="10"/>
    </row>
    <row r="253" customFormat="false" ht="15.75" hidden="false" customHeight="true" outlineLevel="0" collapsed="false">
      <c r="A253" s="10"/>
      <c r="B253" s="10"/>
      <c r="C253" s="10"/>
      <c r="D253" s="10"/>
    </row>
    <row r="254" customFormat="false" ht="15.75" hidden="false" customHeight="true" outlineLevel="0" collapsed="false">
      <c r="A254" s="10"/>
      <c r="B254" s="10"/>
      <c r="C254" s="10"/>
      <c r="D254" s="10"/>
    </row>
    <row r="255" customFormat="false" ht="15.75" hidden="false" customHeight="true" outlineLevel="0" collapsed="false">
      <c r="A255" s="10"/>
      <c r="B255" s="10"/>
      <c r="C255" s="10"/>
      <c r="D255" s="10"/>
    </row>
    <row r="256" customFormat="false" ht="15.75" hidden="false" customHeight="true" outlineLevel="0" collapsed="false">
      <c r="A256" s="10"/>
      <c r="B256" s="10"/>
      <c r="C256" s="10"/>
      <c r="D256" s="10"/>
    </row>
    <row r="257" customFormat="false" ht="15.75" hidden="false" customHeight="true" outlineLevel="0" collapsed="false">
      <c r="A257" s="10"/>
      <c r="B257" s="10"/>
      <c r="C257" s="10"/>
      <c r="D257" s="10"/>
    </row>
    <row r="258" customFormat="false" ht="15.75" hidden="false" customHeight="true" outlineLevel="0" collapsed="false">
      <c r="A258" s="10"/>
      <c r="B258" s="10"/>
      <c r="C258" s="10"/>
      <c r="D258" s="10"/>
    </row>
    <row r="259" customFormat="false" ht="15.75" hidden="false" customHeight="true" outlineLevel="0" collapsed="false">
      <c r="A259" s="10"/>
      <c r="B259" s="10"/>
      <c r="C259" s="10"/>
      <c r="D259" s="10"/>
    </row>
    <row r="260" customFormat="false" ht="15.75" hidden="false" customHeight="true" outlineLevel="0" collapsed="false">
      <c r="A260" s="10"/>
      <c r="B260" s="10"/>
      <c r="C260" s="10"/>
      <c r="D260" s="10"/>
    </row>
    <row r="261" customFormat="false" ht="15.75" hidden="false" customHeight="true" outlineLevel="0" collapsed="false">
      <c r="A261" s="10"/>
      <c r="B261" s="10"/>
      <c r="C261" s="10"/>
      <c r="D261" s="10"/>
    </row>
    <row r="262" customFormat="false" ht="15.75" hidden="false" customHeight="true" outlineLevel="0" collapsed="false">
      <c r="A262" s="10"/>
      <c r="B262" s="10"/>
      <c r="C262" s="10"/>
      <c r="D262" s="10"/>
    </row>
    <row r="263" customFormat="false" ht="15.75" hidden="false" customHeight="true" outlineLevel="0" collapsed="false">
      <c r="A263" s="10"/>
      <c r="B263" s="10"/>
      <c r="C263" s="10"/>
      <c r="D263" s="10"/>
    </row>
    <row r="264" customFormat="false" ht="15.75" hidden="false" customHeight="true" outlineLevel="0" collapsed="false">
      <c r="A264" s="10"/>
      <c r="B264" s="10"/>
      <c r="C264" s="10"/>
      <c r="D264" s="10"/>
    </row>
    <row r="265" customFormat="false" ht="15.75" hidden="false" customHeight="true" outlineLevel="0" collapsed="false">
      <c r="A265" s="10"/>
      <c r="B265" s="10"/>
      <c r="C265" s="10"/>
      <c r="D265" s="10"/>
    </row>
    <row r="266" customFormat="false" ht="15.75" hidden="false" customHeight="true" outlineLevel="0" collapsed="false">
      <c r="A266" s="10"/>
      <c r="B266" s="10"/>
      <c r="C266" s="10"/>
      <c r="D266" s="10"/>
    </row>
    <row r="267" customFormat="false" ht="15.75" hidden="false" customHeight="true" outlineLevel="0" collapsed="false">
      <c r="A267" s="10"/>
      <c r="B267" s="10"/>
      <c r="C267" s="10"/>
      <c r="D267" s="10"/>
    </row>
    <row r="268" customFormat="false" ht="15.75" hidden="false" customHeight="true" outlineLevel="0" collapsed="false">
      <c r="A268" s="10"/>
      <c r="B268" s="10"/>
      <c r="C268" s="10"/>
      <c r="D268" s="10"/>
    </row>
    <row r="269" customFormat="false" ht="15.75" hidden="false" customHeight="true" outlineLevel="0" collapsed="false">
      <c r="A269" s="10"/>
      <c r="B269" s="10"/>
      <c r="C269" s="10"/>
      <c r="D269" s="10"/>
    </row>
    <row r="270" customFormat="false" ht="15.75" hidden="false" customHeight="true" outlineLevel="0" collapsed="false">
      <c r="A270" s="10"/>
      <c r="B270" s="10"/>
      <c r="C270" s="10"/>
      <c r="D270" s="10"/>
    </row>
    <row r="271" customFormat="false" ht="15.75" hidden="false" customHeight="true" outlineLevel="0" collapsed="false">
      <c r="A271" s="10"/>
      <c r="B271" s="10"/>
      <c r="C271" s="10"/>
      <c r="D271" s="10"/>
    </row>
    <row r="272" customFormat="false" ht="15.75" hidden="false" customHeight="true" outlineLevel="0" collapsed="false">
      <c r="A272" s="10"/>
      <c r="B272" s="10"/>
      <c r="C272" s="10"/>
      <c r="D272" s="10"/>
    </row>
    <row r="273" customFormat="false" ht="15.75" hidden="false" customHeight="true" outlineLevel="0" collapsed="false">
      <c r="A273" s="10"/>
      <c r="B273" s="10"/>
      <c r="C273" s="10"/>
      <c r="D273" s="10"/>
    </row>
    <row r="274" customFormat="false" ht="15.75" hidden="false" customHeight="true" outlineLevel="0" collapsed="false">
      <c r="A274" s="10"/>
      <c r="B274" s="10"/>
      <c r="C274" s="10"/>
      <c r="D274" s="10"/>
    </row>
    <row r="275" customFormat="false" ht="15.75" hidden="false" customHeight="true" outlineLevel="0" collapsed="false">
      <c r="A275" s="10"/>
      <c r="B275" s="10"/>
      <c r="C275" s="10"/>
      <c r="D275" s="10"/>
    </row>
    <row r="276" customFormat="false" ht="15.75" hidden="false" customHeight="true" outlineLevel="0" collapsed="false">
      <c r="A276" s="10"/>
      <c r="B276" s="10"/>
      <c r="C276" s="10"/>
      <c r="D276" s="10"/>
    </row>
    <row r="277" customFormat="false" ht="15.75" hidden="false" customHeight="true" outlineLevel="0" collapsed="false">
      <c r="A277" s="10"/>
      <c r="B277" s="10"/>
      <c r="C277" s="10"/>
      <c r="D277" s="10"/>
    </row>
    <row r="278" customFormat="false" ht="15.75" hidden="false" customHeight="true" outlineLevel="0" collapsed="false">
      <c r="A278" s="10"/>
      <c r="B278" s="10"/>
      <c r="C278" s="10"/>
      <c r="D278" s="10"/>
    </row>
    <row r="279" customFormat="false" ht="15.75" hidden="false" customHeight="true" outlineLevel="0" collapsed="false">
      <c r="A279" s="10"/>
      <c r="B279" s="10"/>
      <c r="C279" s="10"/>
      <c r="D279" s="10"/>
    </row>
    <row r="280" customFormat="false" ht="15.75" hidden="false" customHeight="true" outlineLevel="0" collapsed="false">
      <c r="A280" s="10"/>
      <c r="B280" s="10"/>
      <c r="C280" s="10"/>
      <c r="D280" s="10"/>
    </row>
    <row r="281" customFormat="false" ht="15.75" hidden="false" customHeight="true" outlineLevel="0" collapsed="false">
      <c r="A281" s="10"/>
      <c r="B281" s="10"/>
      <c r="C281" s="10"/>
      <c r="D281" s="10"/>
    </row>
    <row r="282" customFormat="false" ht="15.75" hidden="false" customHeight="true" outlineLevel="0" collapsed="false">
      <c r="A282" s="10"/>
      <c r="B282" s="10"/>
      <c r="C282" s="10"/>
      <c r="D282" s="10"/>
    </row>
    <row r="283" customFormat="false" ht="15.75" hidden="false" customHeight="true" outlineLevel="0" collapsed="false">
      <c r="A283" s="10"/>
      <c r="B283" s="10"/>
      <c r="C283" s="10"/>
      <c r="D283" s="10"/>
    </row>
    <row r="284" customFormat="false" ht="15.75" hidden="false" customHeight="true" outlineLevel="0" collapsed="false">
      <c r="A284" s="10"/>
      <c r="B284" s="10"/>
      <c r="C284" s="10"/>
      <c r="D284" s="10"/>
    </row>
    <row r="285" customFormat="false" ht="15.75" hidden="false" customHeight="true" outlineLevel="0" collapsed="false">
      <c r="A285" s="10"/>
      <c r="B285" s="10"/>
      <c r="C285" s="10"/>
      <c r="D285" s="10"/>
    </row>
    <row r="286" customFormat="false" ht="15.75" hidden="false" customHeight="true" outlineLevel="0" collapsed="false">
      <c r="A286" s="10"/>
      <c r="B286" s="10"/>
      <c r="C286" s="10"/>
      <c r="D286" s="10"/>
    </row>
    <row r="287" customFormat="false" ht="15.75" hidden="false" customHeight="true" outlineLevel="0" collapsed="false">
      <c r="A287" s="10"/>
      <c r="B287" s="10"/>
      <c r="C287" s="10"/>
      <c r="D287" s="10"/>
    </row>
    <row r="288" customFormat="false" ht="15.75" hidden="false" customHeight="true" outlineLevel="0" collapsed="false">
      <c r="A288" s="10"/>
      <c r="B288" s="10"/>
      <c r="C288" s="10"/>
      <c r="D288" s="10"/>
    </row>
    <row r="289" customFormat="false" ht="15.75" hidden="false" customHeight="true" outlineLevel="0" collapsed="false">
      <c r="A289" s="10"/>
      <c r="B289" s="10"/>
      <c r="C289" s="10"/>
      <c r="D289" s="10"/>
    </row>
    <row r="290" customFormat="false" ht="15.75" hidden="false" customHeight="true" outlineLevel="0" collapsed="false">
      <c r="A290" s="10"/>
      <c r="B290" s="10"/>
      <c r="C290" s="10"/>
      <c r="D290" s="10"/>
    </row>
    <row r="291" customFormat="false" ht="15.75" hidden="false" customHeight="true" outlineLevel="0" collapsed="false">
      <c r="A291" s="10"/>
      <c r="B291" s="10"/>
      <c r="C291" s="10"/>
      <c r="D291" s="10"/>
    </row>
    <row r="292" customFormat="false" ht="15.75" hidden="false" customHeight="true" outlineLevel="0" collapsed="false">
      <c r="A292" s="10"/>
      <c r="B292" s="10"/>
      <c r="C292" s="10"/>
      <c r="D292" s="10"/>
    </row>
    <row r="293" customFormat="false" ht="15.75" hidden="false" customHeight="true" outlineLevel="0" collapsed="false">
      <c r="A293" s="10"/>
      <c r="B293" s="10"/>
      <c r="C293" s="10"/>
      <c r="D293" s="10"/>
    </row>
    <row r="294" customFormat="false" ht="15.75" hidden="false" customHeight="true" outlineLevel="0" collapsed="false">
      <c r="A294" s="10"/>
      <c r="B294" s="10"/>
      <c r="C294" s="10"/>
      <c r="D294" s="10"/>
    </row>
    <row r="295" customFormat="false" ht="15.75" hidden="false" customHeight="true" outlineLevel="0" collapsed="false">
      <c r="A295" s="10"/>
      <c r="B295" s="10"/>
      <c r="C295" s="10"/>
      <c r="D295" s="10"/>
    </row>
    <row r="296" customFormat="false" ht="15.75" hidden="false" customHeight="true" outlineLevel="0" collapsed="false">
      <c r="A296" s="10"/>
      <c r="B296" s="10"/>
      <c r="C296" s="10"/>
      <c r="D296" s="10"/>
    </row>
    <row r="297" customFormat="false" ht="15.75" hidden="false" customHeight="true" outlineLevel="0" collapsed="false">
      <c r="A297" s="10"/>
      <c r="B297" s="10"/>
      <c r="C297" s="10"/>
      <c r="D297" s="10"/>
    </row>
    <row r="298" customFormat="false" ht="15.75" hidden="false" customHeight="true" outlineLevel="0" collapsed="false">
      <c r="A298" s="10"/>
      <c r="B298" s="10"/>
      <c r="C298" s="10"/>
      <c r="D298" s="10"/>
    </row>
    <row r="299" customFormat="false" ht="15.75" hidden="false" customHeight="true" outlineLevel="0" collapsed="false">
      <c r="A299" s="10"/>
      <c r="B299" s="10"/>
      <c r="C299" s="10"/>
      <c r="D299" s="10"/>
    </row>
    <row r="300" customFormat="false" ht="15.75" hidden="false" customHeight="true" outlineLevel="0" collapsed="false">
      <c r="A300" s="10"/>
      <c r="B300" s="10"/>
      <c r="C300" s="10"/>
      <c r="D300" s="10"/>
    </row>
    <row r="301" customFormat="false" ht="15.75" hidden="false" customHeight="true" outlineLevel="0" collapsed="false">
      <c r="A301" s="10"/>
      <c r="B301" s="10"/>
      <c r="C301" s="10"/>
      <c r="D301" s="10"/>
    </row>
    <row r="302" customFormat="false" ht="15.75" hidden="false" customHeight="true" outlineLevel="0" collapsed="false">
      <c r="A302" s="10"/>
      <c r="B302" s="10"/>
      <c r="C302" s="10"/>
      <c r="D302" s="10"/>
    </row>
    <row r="303" customFormat="false" ht="15.75" hidden="false" customHeight="true" outlineLevel="0" collapsed="false">
      <c r="A303" s="10"/>
      <c r="B303" s="10"/>
      <c r="C303" s="10"/>
      <c r="D303" s="10"/>
    </row>
    <row r="304" customFormat="false" ht="15.75" hidden="false" customHeight="true" outlineLevel="0" collapsed="false">
      <c r="A304" s="10"/>
      <c r="B304" s="10"/>
      <c r="C304" s="10"/>
      <c r="D304" s="10"/>
    </row>
    <row r="305" customFormat="false" ht="15.75" hidden="false" customHeight="true" outlineLevel="0" collapsed="false">
      <c r="A305" s="10"/>
      <c r="B305" s="10"/>
      <c r="C305" s="10"/>
      <c r="D305" s="10"/>
    </row>
    <row r="306" customFormat="false" ht="15.75" hidden="false" customHeight="true" outlineLevel="0" collapsed="false">
      <c r="A306" s="10"/>
      <c r="B306" s="10"/>
      <c r="C306" s="10"/>
      <c r="D306" s="10"/>
    </row>
    <row r="307" customFormat="false" ht="15.75" hidden="false" customHeight="true" outlineLevel="0" collapsed="false">
      <c r="A307" s="10"/>
      <c r="B307" s="10"/>
      <c r="C307" s="10"/>
      <c r="D307" s="10"/>
    </row>
    <row r="308" customFormat="false" ht="15.75" hidden="false" customHeight="true" outlineLevel="0" collapsed="false">
      <c r="A308" s="10"/>
      <c r="B308" s="10"/>
      <c r="C308" s="10"/>
      <c r="D308" s="10"/>
    </row>
    <row r="309" customFormat="false" ht="15.75" hidden="false" customHeight="true" outlineLevel="0" collapsed="false">
      <c r="A309" s="10"/>
      <c r="B309" s="10"/>
      <c r="C309" s="10"/>
      <c r="D309" s="10"/>
    </row>
    <row r="310" customFormat="false" ht="15.75" hidden="false" customHeight="true" outlineLevel="0" collapsed="false">
      <c r="A310" s="10"/>
      <c r="B310" s="10"/>
      <c r="C310" s="10"/>
      <c r="D310" s="10"/>
    </row>
    <row r="311" customFormat="false" ht="15.75" hidden="false" customHeight="true" outlineLevel="0" collapsed="false">
      <c r="A311" s="10"/>
      <c r="B311" s="10"/>
      <c r="C311" s="10"/>
      <c r="D311" s="10"/>
    </row>
    <row r="312" customFormat="false" ht="15.75" hidden="false" customHeight="true" outlineLevel="0" collapsed="false">
      <c r="A312" s="10"/>
      <c r="B312" s="10"/>
      <c r="C312" s="10"/>
      <c r="D312" s="10"/>
    </row>
    <row r="313" customFormat="false" ht="15.75" hidden="false" customHeight="true" outlineLevel="0" collapsed="false">
      <c r="A313" s="10"/>
      <c r="B313" s="10"/>
      <c r="C313" s="10"/>
      <c r="D313" s="10"/>
    </row>
    <row r="314" customFormat="false" ht="15.75" hidden="false" customHeight="true" outlineLevel="0" collapsed="false">
      <c r="A314" s="10"/>
      <c r="B314" s="10"/>
      <c r="C314" s="10"/>
      <c r="D314" s="10"/>
    </row>
    <row r="315" customFormat="false" ht="15.75" hidden="false" customHeight="true" outlineLevel="0" collapsed="false">
      <c r="A315" s="10"/>
      <c r="B315" s="10"/>
      <c r="C315" s="10"/>
      <c r="D315" s="10"/>
    </row>
    <row r="316" customFormat="false" ht="15.75" hidden="false" customHeight="true" outlineLevel="0" collapsed="false">
      <c r="A316" s="10"/>
      <c r="B316" s="10"/>
      <c r="C316" s="10"/>
      <c r="D316" s="10"/>
    </row>
    <row r="317" customFormat="false" ht="15.75" hidden="false" customHeight="true" outlineLevel="0" collapsed="false">
      <c r="A317" s="10"/>
      <c r="B317" s="10"/>
      <c r="C317" s="10"/>
      <c r="D317" s="10"/>
    </row>
    <row r="318" customFormat="false" ht="15.75" hidden="false" customHeight="true" outlineLevel="0" collapsed="false">
      <c r="A318" s="10"/>
      <c r="B318" s="10"/>
      <c r="C318" s="10"/>
      <c r="D318" s="10"/>
    </row>
    <row r="319" customFormat="false" ht="15.75" hidden="false" customHeight="true" outlineLevel="0" collapsed="false">
      <c r="A319" s="10"/>
      <c r="B319" s="10"/>
      <c r="C319" s="10"/>
      <c r="D319" s="10"/>
    </row>
    <row r="320" customFormat="false" ht="15.75" hidden="false" customHeight="true" outlineLevel="0" collapsed="false">
      <c r="A320" s="10"/>
      <c r="B320" s="10"/>
      <c r="C320" s="10"/>
      <c r="D320" s="10"/>
    </row>
    <row r="321" customFormat="false" ht="15.75" hidden="false" customHeight="true" outlineLevel="0" collapsed="false">
      <c r="A321" s="10"/>
      <c r="B321" s="10"/>
      <c r="C321" s="10"/>
      <c r="D321" s="10"/>
    </row>
    <row r="322" customFormat="false" ht="15.75" hidden="false" customHeight="true" outlineLevel="0" collapsed="false">
      <c r="A322" s="10"/>
      <c r="B322" s="10"/>
      <c r="C322" s="10"/>
      <c r="D322" s="10"/>
    </row>
    <row r="323" customFormat="false" ht="15.75" hidden="false" customHeight="true" outlineLevel="0" collapsed="false">
      <c r="A323" s="10"/>
      <c r="B323" s="10"/>
      <c r="C323" s="10"/>
      <c r="D323" s="10"/>
    </row>
    <row r="324" customFormat="false" ht="15.75" hidden="false" customHeight="true" outlineLevel="0" collapsed="false">
      <c r="A324" s="10"/>
      <c r="B324" s="10"/>
      <c r="C324" s="10"/>
      <c r="D324" s="10"/>
    </row>
    <row r="325" customFormat="false" ht="15.75" hidden="false" customHeight="true" outlineLevel="0" collapsed="false">
      <c r="A325" s="10"/>
      <c r="B325" s="10"/>
      <c r="C325" s="10"/>
      <c r="D325" s="10"/>
    </row>
    <row r="326" customFormat="false" ht="15.75" hidden="false" customHeight="true" outlineLevel="0" collapsed="false">
      <c r="A326" s="10"/>
      <c r="B326" s="10"/>
      <c r="C326" s="10"/>
      <c r="D326" s="10"/>
    </row>
    <row r="327" customFormat="false" ht="15.75" hidden="false" customHeight="true" outlineLevel="0" collapsed="false">
      <c r="A327" s="10"/>
      <c r="B327" s="10"/>
      <c r="C327" s="10"/>
      <c r="D327" s="10"/>
    </row>
    <row r="328" customFormat="false" ht="15.75" hidden="false" customHeight="true" outlineLevel="0" collapsed="false">
      <c r="A328" s="10"/>
      <c r="B328" s="10"/>
      <c r="C328" s="10"/>
      <c r="D328" s="10"/>
    </row>
    <row r="329" customFormat="false" ht="15.75" hidden="false" customHeight="true" outlineLevel="0" collapsed="false">
      <c r="A329" s="10"/>
      <c r="B329" s="10"/>
      <c r="C329" s="10"/>
      <c r="D329" s="10"/>
    </row>
    <row r="330" customFormat="false" ht="15.75" hidden="false" customHeight="true" outlineLevel="0" collapsed="false">
      <c r="A330" s="10"/>
      <c r="B330" s="10"/>
      <c r="C330" s="10"/>
      <c r="D330" s="10"/>
    </row>
    <row r="331" customFormat="false" ht="15.75" hidden="false" customHeight="true" outlineLevel="0" collapsed="false">
      <c r="A331" s="10"/>
      <c r="B331" s="10"/>
      <c r="C331" s="10"/>
      <c r="D331" s="10"/>
    </row>
    <row r="332" customFormat="false" ht="15.75" hidden="false" customHeight="true" outlineLevel="0" collapsed="false">
      <c r="A332" s="10"/>
      <c r="B332" s="10"/>
      <c r="C332" s="10"/>
      <c r="D332" s="10"/>
    </row>
    <row r="333" customFormat="false" ht="15.75" hidden="false" customHeight="true" outlineLevel="0" collapsed="false">
      <c r="A333" s="10"/>
      <c r="B333" s="10"/>
      <c r="C333" s="10"/>
      <c r="D333" s="10"/>
    </row>
    <row r="334" customFormat="false" ht="15.75" hidden="false" customHeight="true" outlineLevel="0" collapsed="false">
      <c r="A334" s="10"/>
      <c r="B334" s="10"/>
      <c r="C334" s="10"/>
      <c r="D334" s="10"/>
    </row>
    <row r="335" customFormat="false" ht="15.75" hidden="false" customHeight="true" outlineLevel="0" collapsed="false">
      <c r="A335" s="10"/>
      <c r="B335" s="10"/>
      <c r="C335" s="10"/>
      <c r="D335" s="10"/>
    </row>
    <row r="336" customFormat="false" ht="15.75" hidden="false" customHeight="true" outlineLevel="0" collapsed="false">
      <c r="A336" s="10"/>
      <c r="B336" s="10"/>
      <c r="C336" s="10"/>
      <c r="D336" s="10"/>
    </row>
    <row r="337" customFormat="false" ht="15.75" hidden="false" customHeight="true" outlineLevel="0" collapsed="false">
      <c r="A337" s="10"/>
      <c r="B337" s="10"/>
      <c r="C337" s="10"/>
      <c r="D337" s="10"/>
    </row>
    <row r="338" customFormat="false" ht="15.75" hidden="false" customHeight="true" outlineLevel="0" collapsed="false">
      <c r="A338" s="10"/>
      <c r="B338" s="10"/>
      <c r="C338" s="10"/>
      <c r="D338" s="10"/>
    </row>
    <row r="339" customFormat="false" ht="15.75" hidden="false" customHeight="true" outlineLevel="0" collapsed="false">
      <c r="A339" s="10"/>
      <c r="B339" s="10"/>
      <c r="C339" s="10"/>
      <c r="D339" s="10"/>
    </row>
    <row r="340" customFormat="false" ht="15.75" hidden="false" customHeight="true" outlineLevel="0" collapsed="false">
      <c r="A340" s="10"/>
      <c r="B340" s="10"/>
      <c r="C340" s="10"/>
      <c r="D340" s="10"/>
    </row>
    <row r="341" customFormat="false" ht="15.75" hidden="false" customHeight="true" outlineLevel="0" collapsed="false">
      <c r="A341" s="10"/>
      <c r="B341" s="10"/>
      <c r="C341" s="10"/>
      <c r="D341" s="10"/>
    </row>
    <row r="342" customFormat="false" ht="15.75" hidden="false" customHeight="true" outlineLevel="0" collapsed="false">
      <c r="A342" s="10"/>
      <c r="B342" s="10"/>
      <c r="C342" s="10"/>
      <c r="D342" s="10"/>
    </row>
    <row r="343" customFormat="false" ht="15.75" hidden="false" customHeight="true" outlineLevel="0" collapsed="false">
      <c r="A343" s="10"/>
      <c r="B343" s="10"/>
      <c r="C343" s="10"/>
      <c r="D343" s="10"/>
    </row>
    <row r="344" customFormat="false" ht="15.75" hidden="false" customHeight="true" outlineLevel="0" collapsed="false">
      <c r="A344" s="10"/>
      <c r="B344" s="10"/>
      <c r="C344" s="10"/>
      <c r="D344" s="10"/>
    </row>
    <row r="345" customFormat="false" ht="15.75" hidden="false" customHeight="true" outlineLevel="0" collapsed="false">
      <c r="A345" s="10"/>
      <c r="B345" s="10"/>
      <c r="C345" s="10"/>
      <c r="D345" s="10"/>
    </row>
    <row r="346" customFormat="false" ht="15.75" hidden="false" customHeight="true" outlineLevel="0" collapsed="false">
      <c r="A346" s="10"/>
      <c r="B346" s="10"/>
      <c r="C346" s="10"/>
      <c r="D346" s="10"/>
    </row>
    <row r="347" customFormat="false" ht="15.75" hidden="false" customHeight="true" outlineLevel="0" collapsed="false">
      <c r="A347" s="10"/>
      <c r="B347" s="10"/>
      <c r="C347" s="10"/>
      <c r="D347" s="10"/>
    </row>
    <row r="348" customFormat="false" ht="15.75" hidden="false" customHeight="true" outlineLevel="0" collapsed="false">
      <c r="A348" s="10"/>
      <c r="B348" s="10"/>
      <c r="C348" s="10"/>
      <c r="D348" s="10"/>
    </row>
    <row r="349" customFormat="false" ht="15.75" hidden="false" customHeight="true" outlineLevel="0" collapsed="false">
      <c r="A349" s="10"/>
      <c r="B349" s="10"/>
      <c r="C349" s="10"/>
      <c r="D349" s="10"/>
    </row>
    <row r="350" customFormat="false" ht="15.75" hidden="false" customHeight="true" outlineLevel="0" collapsed="false">
      <c r="A350" s="10"/>
      <c r="B350" s="10"/>
      <c r="C350" s="10"/>
      <c r="D350" s="10"/>
    </row>
    <row r="351" customFormat="false" ht="15.75" hidden="false" customHeight="true" outlineLevel="0" collapsed="false">
      <c r="A351" s="10"/>
      <c r="B351" s="10"/>
      <c r="C351" s="10"/>
      <c r="D351" s="10"/>
    </row>
    <row r="352" customFormat="false" ht="15.75" hidden="false" customHeight="true" outlineLevel="0" collapsed="false">
      <c r="A352" s="10"/>
      <c r="B352" s="10"/>
      <c r="C352" s="10"/>
      <c r="D352" s="10"/>
    </row>
    <row r="353" customFormat="false" ht="15.75" hidden="false" customHeight="true" outlineLevel="0" collapsed="false">
      <c r="A353" s="10"/>
      <c r="B353" s="10"/>
      <c r="C353" s="10"/>
      <c r="D353" s="10"/>
    </row>
    <row r="354" customFormat="false" ht="15.75" hidden="false" customHeight="true" outlineLevel="0" collapsed="false">
      <c r="A354" s="10"/>
      <c r="B354" s="10"/>
      <c r="C354" s="10"/>
      <c r="D354" s="10"/>
    </row>
    <row r="355" customFormat="false" ht="15.75" hidden="false" customHeight="true" outlineLevel="0" collapsed="false">
      <c r="A355" s="10"/>
      <c r="B355" s="10"/>
      <c r="C355" s="10"/>
      <c r="D355" s="10"/>
    </row>
    <row r="356" customFormat="false" ht="15.75" hidden="false" customHeight="true" outlineLevel="0" collapsed="false">
      <c r="A356" s="10"/>
      <c r="B356" s="10"/>
      <c r="C356" s="10"/>
      <c r="D356" s="10"/>
    </row>
    <row r="357" customFormat="false" ht="15.75" hidden="false" customHeight="true" outlineLevel="0" collapsed="false">
      <c r="A357" s="10"/>
      <c r="B357" s="10"/>
      <c r="C357" s="10"/>
      <c r="D357" s="10"/>
    </row>
    <row r="358" customFormat="false" ht="15.75" hidden="false" customHeight="true" outlineLevel="0" collapsed="false">
      <c r="A358" s="10"/>
      <c r="B358" s="10"/>
      <c r="C358" s="10"/>
      <c r="D358" s="10"/>
    </row>
    <row r="359" customFormat="false" ht="15.75" hidden="false" customHeight="true" outlineLevel="0" collapsed="false">
      <c r="A359" s="10"/>
      <c r="B359" s="10"/>
      <c r="C359" s="10"/>
      <c r="D359" s="10"/>
    </row>
    <row r="360" customFormat="false" ht="15.75" hidden="false" customHeight="true" outlineLevel="0" collapsed="false">
      <c r="A360" s="10"/>
      <c r="B360" s="10"/>
      <c r="C360" s="10"/>
      <c r="D360" s="10"/>
    </row>
    <row r="361" customFormat="false" ht="15.75" hidden="false" customHeight="true" outlineLevel="0" collapsed="false">
      <c r="A361" s="10"/>
      <c r="B361" s="10"/>
      <c r="C361" s="10"/>
      <c r="D361" s="10"/>
    </row>
    <row r="362" customFormat="false" ht="15.75" hidden="false" customHeight="true" outlineLevel="0" collapsed="false">
      <c r="A362" s="10"/>
      <c r="B362" s="10"/>
      <c r="C362" s="10"/>
      <c r="D362" s="10"/>
    </row>
    <row r="363" customFormat="false" ht="15.75" hidden="false" customHeight="true" outlineLevel="0" collapsed="false">
      <c r="A363" s="10"/>
      <c r="B363" s="10"/>
      <c r="C363" s="10"/>
      <c r="D363" s="10"/>
    </row>
    <row r="364" customFormat="false" ht="15.75" hidden="false" customHeight="true" outlineLevel="0" collapsed="false">
      <c r="A364" s="10"/>
      <c r="B364" s="10"/>
      <c r="C364" s="10"/>
      <c r="D364" s="10"/>
    </row>
    <row r="365" customFormat="false" ht="15.75" hidden="false" customHeight="true" outlineLevel="0" collapsed="false">
      <c r="A365" s="10"/>
      <c r="B365" s="10"/>
      <c r="C365" s="10"/>
      <c r="D365" s="10"/>
    </row>
    <row r="366" customFormat="false" ht="15.75" hidden="false" customHeight="true" outlineLevel="0" collapsed="false">
      <c r="A366" s="10"/>
      <c r="B366" s="10"/>
      <c r="C366" s="10"/>
      <c r="D366" s="10"/>
    </row>
    <row r="367" customFormat="false" ht="15.75" hidden="false" customHeight="true" outlineLevel="0" collapsed="false">
      <c r="A367" s="10"/>
      <c r="B367" s="10"/>
      <c r="C367" s="10"/>
      <c r="D367" s="10"/>
    </row>
    <row r="368" customFormat="false" ht="15.75" hidden="false" customHeight="true" outlineLevel="0" collapsed="false">
      <c r="A368" s="10"/>
      <c r="B368" s="10"/>
      <c r="C368" s="10"/>
      <c r="D368" s="10"/>
    </row>
    <row r="369" customFormat="false" ht="15.75" hidden="false" customHeight="true" outlineLevel="0" collapsed="false">
      <c r="A369" s="10"/>
      <c r="B369" s="10"/>
      <c r="C369" s="10"/>
      <c r="D369" s="10"/>
    </row>
    <row r="370" customFormat="false" ht="15.75" hidden="false" customHeight="true" outlineLevel="0" collapsed="false">
      <c r="A370" s="10"/>
      <c r="B370" s="10"/>
      <c r="C370" s="10"/>
      <c r="D370" s="10"/>
    </row>
    <row r="371" customFormat="false" ht="15.75" hidden="false" customHeight="true" outlineLevel="0" collapsed="false">
      <c r="A371" s="10"/>
      <c r="B371" s="10"/>
      <c r="C371" s="10"/>
      <c r="D371" s="10"/>
    </row>
    <row r="372" customFormat="false" ht="15.75" hidden="false" customHeight="true" outlineLevel="0" collapsed="false">
      <c r="A372" s="10"/>
      <c r="B372" s="10"/>
      <c r="C372" s="10"/>
      <c r="D372" s="10"/>
    </row>
    <row r="373" customFormat="false" ht="15.75" hidden="false" customHeight="true" outlineLevel="0" collapsed="false">
      <c r="A373" s="10"/>
      <c r="B373" s="10"/>
      <c r="C373" s="10"/>
      <c r="D373" s="10"/>
    </row>
    <row r="374" customFormat="false" ht="15.75" hidden="false" customHeight="true" outlineLevel="0" collapsed="false">
      <c r="A374" s="10"/>
      <c r="B374" s="10"/>
      <c r="C374" s="10"/>
      <c r="D374" s="10"/>
    </row>
    <row r="375" customFormat="false" ht="15.75" hidden="false" customHeight="true" outlineLevel="0" collapsed="false">
      <c r="A375" s="10"/>
      <c r="B375" s="10"/>
      <c r="C375" s="10"/>
      <c r="D375" s="10"/>
    </row>
    <row r="376" customFormat="false" ht="15.75" hidden="false" customHeight="true" outlineLevel="0" collapsed="false">
      <c r="A376" s="10"/>
      <c r="B376" s="10"/>
      <c r="C376" s="10"/>
      <c r="D376" s="10"/>
    </row>
    <row r="377" customFormat="false" ht="15.75" hidden="false" customHeight="true" outlineLevel="0" collapsed="false">
      <c r="A377" s="10"/>
      <c r="B377" s="10"/>
      <c r="C377" s="10"/>
      <c r="D377" s="10"/>
    </row>
    <row r="378" customFormat="false" ht="15.75" hidden="false" customHeight="true" outlineLevel="0" collapsed="false">
      <c r="A378" s="10"/>
      <c r="B378" s="10"/>
      <c r="C378" s="10"/>
      <c r="D378" s="10"/>
    </row>
    <row r="379" customFormat="false" ht="15.75" hidden="false" customHeight="true" outlineLevel="0" collapsed="false">
      <c r="A379" s="10"/>
      <c r="B379" s="10"/>
      <c r="C379" s="10"/>
      <c r="D379" s="10"/>
    </row>
    <row r="380" customFormat="false" ht="15.75" hidden="false" customHeight="true" outlineLevel="0" collapsed="false">
      <c r="A380" s="10"/>
      <c r="B380" s="10"/>
      <c r="C380" s="10"/>
      <c r="D380" s="10"/>
    </row>
    <row r="381" customFormat="false" ht="15.75" hidden="false" customHeight="true" outlineLevel="0" collapsed="false">
      <c r="A381" s="10"/>
      <c r="B381" s="10"/>
      <c r="C381" s="10"/>
      <c r="D381" s="10"/>
    </row>
    <row r="382" customFormat="false" ht="15.75" hidden="false" customHeight="true" outlineLevel="0" collapsed="false">
      <c r="A382" s="10"/>
      <c r="B382" s="10"/>
      <c r="C382" s="10"/>
      <c r="D382" s="10"/>
    </row>
    <row r="383" customFormat="false" ht="15.75" hidden="false" customHeight="true" outlineLevel="0" collapsed="false">
      <c r="A383" s="10"/>
      <c r="B383" s="10"/>
      <c r="C383" s="10"/>
      <c r="D383" s="10"/>
    </row>
    <row r="384" customFormat="false" ht="15.75" hidden="false" customHeight="true" outlineLevel="0" collapsed="false">
      <c r="A384" s="10"/>
      <c r="B384" s="10"/>
      <c r="C384" s="10"/>
      <c r="D384" s="10"/>
    </row>
    <row r="385" customFormat="false" ht="15.75" hidden="false" customHeight="true" outlineLevel="0" collapsed="false">
      <c r="A385" s="10"/>
      <c r="B385" s="10"/>
      <c r="C385" s="10"/>
      <c r="D385" s="10"/>
    </row>
    <row r="386" customFormat="false" ht="15.75" hidden="false" customHeight="true" outlineLevel="0" collapsed="false">
      <c r="A386" s="10"/>
      <c r="B386" s="10"/>
      <c r="C386" s="10"/>
      <c r="D386" s="10"/>
    </row>
    <row r="387" customFormat="false" ht="15.75" hidden="false" customHeight="true" outlineLevel="0" collapsed="false">
      <c r="A387" s="10"/>
      <c r="B387" s="10"/>
      <c r="C387" s="10"/>
      <c r="D387" s="10"/>
    </row>
    <row r="388" customFormat="false" ht="15.75" hidden="false" customHeight="true" outlineLevel="0" collapsed="false">
      <c r="A388" s="10"/>
      <c r="B388" s="10"/>
      <c r="C388" s="10"/>
      <c r="D388" s="10"/>
    </row>
    <row r="389" customFormat="false" ht="15.75" hidden="false" customHeight="true" outlineLevel="0" collapsed="false">
      <c r="A389" s="10"/>
      <c r="B389" s="10"/>
      <c r="C389" s="10"/>
      <c r="D389" s="10"/>
    </row>
    <row r="390" customFormat="false" ht="15.75" hidden="false" customHeight="true" outlineLevel="0" collapsed="false">
      <c r="A390" s="10"/>
      <c r="B390" s="10"/>
      <c r="C390" s="10"/>
      <c r="D390" s="10"/>
    </row>
    <row r="391" customFormat="false" ht="15.75" hidden="false" customHeight="true" outlineLevel="0" collapsed="false">
      <c r="A391" s="10"/>
      <c r="B391" s="10"/>
      <c r="C391" s="10"/>
      <c r="D391" s="10"/>
    </row>
    <row r="392" customFormat="false" ht="15.75" hidden="false" customHeight="true" outlineLevel="0" collapsed="false">
      <c r="A392" s="10"/>
      <c r="B392" s="10"/>
      <c r="C392" s="10"/>
      <c r="D392" s="10"/>
    </row>
    <row r="393" customFormat="false" ht="15.75" hidden="false" customHeight="true" outlineLevel="0" collapsed="false">
      <c r="A393" s="10"/>
      <c r="B393" s="10"/>
      <c r="C393" s="10"/>
      <c r="D393" s="10"/>
    </row>
    <row r="394" customFormat="false" ht="15.75" hidden="false" customHeight="true" outlineLevel="0" collapsed="false">
      <c r="A394" s="10"/>
      <c r="B394" s="10"/>
      <c r="C394" s="10"/>
      <c r="D394" s="10"/>
    </row>
    <row r="395" customFormat="false" ht="15.75" hidden="false" customHeight="true" outlineLevel="0" collapsed="false">
      <c r="A395" s="10"/>
      <c r="B395" s="10"/>
      <c r="C395" s="10"/>
      <c r="D395" s="10"/>
    </row>
    <row r="396" customFormat="false" ht="15.75" hidden="false" customHeight="true" outlineLevel="0" collapsed="false">
      <c r="A396" s="10"/>
      <c r="B396" s="10"/>
      <c r="C396" s="10"/>
      <c r="D396" s="10"/>
    </row>
    <row r="397" customFormat="false" ht="15.75" hidden="false" customHeight="true" outlineLevel="0" collapsed="false">
      <c r="A397" s="10"/>
      <c r="B397" s="10"/>
      <c r="C397" s="10"/>
      <c r="D397" s="10"/>
    </row>
    <row r="398" customFormat="false" ht="15.75" hidden="false" customHeight="true" outlineLevel="0" collapsed="false">
      <c r="A398" s="10"/>
      <c r="B398" s="10"/>
      <c r="C398" s="10"/>
      <c r="D398" s="10"/>
    </row>
    <row r="399" customFormat="false" ht="15.75" hidden="false" customHeight="true" outlineLevel="0" collapsed="false">
      <c r="A399" s="10"/>
      <c r="B399" s="10"/>
      <c r="C399" s="10"/>
      <c r="D399" s="10"/>
    </row>
    <row r="400" customFormat="false" ht="15.75" hidden="false" customHeight="true" outlineLevel="0" collapsed="false">
      <c r="A400" s="10"/>
      <c r="B400" s="10"/>
      <c r="C400" s="10"/>
      <c r="D400" s="10"/>
    </row>
    <row r="401" customFormat="false" ht="15.75" hidden="false" customHeight="true" outlineLevel="0" collapsed="false">
      <c r="A401" s="10"/>
      <c r="B401" s="10"/>
      <c r="C401" s="10"/>
      <c r="D401" s="10"/>
    </row>
    <row r="402" customFormat="false" ht="15.75" hidden="false" customHeight="true" outlineLevel="0" collapsed="false">
      <c r="A402" s="10"/>
      <c r="B402" s="10"/>
      <c r="C402" s="10"/>
      <c r="D402" s="10"/>
    </row>
    <row r="403" customFormat="false" ht="15.75" hidden="false" customHeight="true" outlineLevel="0" collapsed="false">
      <c r="A403" s="10"/>
      <c r="B403" s="10"/>
      <c r="C403" s="10"/>
      <c r="D403" s="10"/>
    </row>
    <row r="404" customFormat="false" ht="15.75" hidden="false" customHeight="true" outlineLevel="0" collapsed="false">
      <c r="A404" s="10"/>
      <c r="B404" s="10"/>
      <c r="C404" s="10"/>
      <c r="D404" s="10"/>
    </row>
    <row r="405" customFormat="false" ht="15.75" hidden="false" customHeight="true" outlineLevel="0" collapsed="false">
      <c r="A405" s="10"/>
      <c r="B405" s="10"/>
      <c r="C405" s="10"/>
      <c r="D405" s="10"/>
    </row>
    <row r="406" customFormat="false" ht="15.75" hidden="false" customHeight="true" outlineLevel="0" collapsed="false">
      <c r="A406" s="10"/>
      <c r="B406" s="10"/>
      <c r="C406" s="10"/>
      <c r="D406" s="10"/>
    </row>
    <row r="407" customFormat="false" ht="15.75" hidden="false" customHeight="true" outlineLevel="0" collapsed="false">
      <c r="A407" s="10"/>
      <c r="B407" s="10"/>
      <c r="C407" s="10"/>
      <c r="D407" s="10"/>
    </row>
    <row r="408" customFormat="false" ht="15.75" hidden="false" customHeight="true" outlineLevel="0" collapsed="false">
      <c r="A408" s="10"/>
      <c r="B408" s="10"/>
      <c r="C408" s="10"/>
      <c r="D408" s="10"/>
    </row>
    <row r="409" customFormat="false" ht="15.75" hidden="false" customHeight="true" outlineLevel="0" collapsed="false">
      <c r="A409" s="10"/>
      <c r="B409" s="10"/>
      <c r="C409" s="10"/>
      <c r="D409" s="10"/>
    </row>
    <row r="410" customFormat="false" ht="15.75" hidden="false" customHeight="true" outlineLevel="0" collapsed="false">
      <c r="A410" s="10"/>
      <c r="B410" s="10"/>
      <c r="C410" s="10"/>
      <c r="D410" s="10"/>
    </row>
    <row r="411" customFormat="false" ht="15.75" hidden="false" customHeight="true" outlineLevel="0" collapsed="false">
      <c r="A411" s="10"/>
      <c r="B411" s="10"/>
      <c r="C411" s="10"/>
      <c r="D411" s="10"/>
    </row>
    <row r="412" customFormat="false" ht="15.75" hidden="false" customHeight="true" outlineLevel="0" collapsed="false">
      <c r="A412" s="10"/>
      <c r="B412" s="10"/>
      <c r="C412" s="10"/>
      <c r="D412" s="10"/>
    </row>
    <row r="413" customFormat="false" ht="15.75" hidden="false" customHeight="true" outlineLevel="0" collapsed="false">
      <c r="A413" s="10"/>
      <c r="B413" s="10"/>
      <c r="C413" s="10"/>
      <c r="D413" s="10"/>
    </row>
    <row r="414" customFormat="false" ht="15.75" hidden="false" customHeight="true" outlineLevel="0" collapsed="false">
      <c r="A414" s="10"/>
      <c r="B414" s="10"/>
      <c r="C414" s="10"/>
      <c r="D414" s="10"/>
    </row>
    <row r="415" customFormat="false" ht="15.75" hidden="false" customHeight="true" outlineLevel="0" collapsed="false">
      <c r="A415" s="10"/>
      <c r="B415" s="10"/>
      <c r="C415" s="10"/>
      <c r="D415" s="10"/>
    </row>
    <row r="416" customFormat="false" ht="15.75" hidden="false" customHeight="true" outlineLevel="0" collapsed="false">
      <c r="A416" s="10"/>
      <c r="B416" s="10"/>
      <c r="C416" s="10"/>
      <c r="D416" s="10"/>
    </row>
    <row r="417" customFormat="false" ht="15.75" hidden="false" customHeight="true" outlineLevel="0" collapsed="false">
      <c r="A417" s="10"/>
      <c r="B417" s="10"/>
      <c r="C417" s="10"/>
      <c r="D417" s="10"/>
    </row>
    <row r="418" customFormat="false" ht="15.75" hidden="false" customHeight="true" outlineLevel="0" collapsed="false">
      <c r="A418" s="10"/>
      <c r="B418" s="10"/>
      <c r="C418" s="10"/>
      <c r="D418" s="10"/>
    </row>
    <row r="419" customFormat="false" ht="15.75" hidden="false" customHeight="true" outlineLevel="0" collapsed="false">
      <c r="A419" s="10"/>
      <c r="B419" s="10"/>
      <c r="C419" s="10"/>
      <c r="D419" s="10"/>
    </row>
    <row r="420" customFormat="false" ht="15.75" hidden="false" customHeight="true" outlineLevel="0" collapsed="false">
      <c r="A420" s="10"/>
      <c r="B420" s="10"/>
      <c r="C420" s="10"/>
      <c r="D420" s="10"/>
    </row>
    <row r="421" customFormat="false" ht="15.75" hidden="false" customHeight="true" outlineLevel="0" collapsed="false">
      <c r="A421" s="10"/>
      <c r="B421" s="10"/>
      <c r="C421" s="10"/>
      <c r="D421" s="10"/>
    </row>
    <row r="422" customFormat="false" ht="15.75" hidden="false" customHeight="true" outlineLevel="0" collapsed="false">
      <c r="A422" s="10"/>
      <c r="B422" s="10"/>
      <c r="C422" s="10"/>
      <c r="D422" s="10"/>
    </row>
    <row r="423" customFormat="false" ht="15.75" hidden="false" customHeight="true" outlineLevel="0" collapsed="false">
      <c r="A423" s="10"/>
      <c r="B423" s="10"/>
      <c r="C423" s="10"/>
      <c r="D423" s="10"/>
    </row>
    <row r="424" customFormat="false" ht="15.75" hidden="false" customHeight="true" outlineLevel="0" collapsed="false">
      <c r="A424" s="10"/>
      <c r="B424" s="10"/>
      <c r="C424" s="10"/>
      <c r="D424" s="10"/>
    </row>
    <row r="425" customFormat="false" ht="15.75" hidden="false" customHeight="true" outlineLevel="0" collapsed="false">
      <c r="A425" s="10"/>
      <c r="B425" s="10"/>
      <c r="C425" s="10"/>
      <c r="D425" s="10"/>
    </row>
    <row r="426" customFormat="false" ht="15.75" hidden="false" customHeight="true" outlineLevel="0" collapsed="false">
      <c r="A426" s="10"/>
      <c r="B426" s="10"/>
      <c r="C426" s="10"/>
      <c r="D426" s="10"/>
    </row>
    <row r="427" customFormat="false" ht="15.75" hidden="false" customHeight="true" outlineLevel="0" collapsed="false">
      <c r="A427" s="10"/>
      <c r="B427" s="10"/>
      <c r="C427" s="10"/>
      <c r="D427" s="10"/>
    </row>
    <row r="428" customFormat="false" ht="15.75" hidden="false" customHeight="true" outlineLevel="0" collapsed="false">
      <c r="A428" s="10"/>
      <c r="B428" s="10"/>
      <c r="C428" s="10"/>
      <c r="D428" s="10"/>
    </row>
    <row r="429" customFormat="false" ht="15.75" hidden="false" customHeight="true" outlineLevel="0" collapsed="false">
      <c r="A429" s="10"/>
      <c r="B429" s="10"/>
      <c r="C429" s="10"/>
      <c r="D429" s="10"/>
    </row>
    <row r="430" customFormat="false" ht="15.75" hidden="false" customHeight="true" outlineLevel="0" collapsed="false">
      <c r="A430" s="10"/>
      <c r="B430" s="10"/>
      <c r="C430" s="10"/>
      <c r="D430" s="10"/>
    </row>
    <row r="431" customFormat="false" ht="15.75" hidden="false" customHeight="true" outlineLevel="0" collapsed="false">
      <c r="A431" s="10"/>
      <c r="B431" s="10"/>
      <c r="C431" s="10"/>
      <c r="D431" s="10"/>
    </row>
    <row r="432" customFormat="false" ht="15.75" hidden="false" customHeight="true" outlineLevel="0" collapsed="false">
      <c r="A432" s="10"/>
      <c r="B432" s="10"/>
      <c r="C432" s="10"/>
      <c r="D432" s="10"/>
    </row>
    <row r="433" customFormat="false" ht="15.75" hidden="false" customHeight="true" outlineLevel="0" collapsed="false">
      <c r="A433" s="10"/>
      <c r="B433" s="10"/>
      <c r="C433" s="10"/>
      <c r="D433" s="10"/>
    </row>
    <row r="434" customFormat="false" ht="15.75" hidden="false" customHeight="true" outlineLevel="0" collapsed="false">
      <c r="A434" s="10"/>
      <c r="B434" s="10"/>
      <c r="C434" s="10"/>
      <c r="D434" s="10"/>
    </row>
    <row r="435" customFormat="false" ht="15.75" hidden="false" customHeight="true" outlineLevel="0" collapsed="false">
      <c r="A435" s="10"/>
      <c r="B435" s="10"/>
      <c r="C435" s="10"/>
      <c r="D435" s="10"/>
    </row>
    <row r="436" customFormat="false" ht="15.75" hidden="false" customHeight="true" outlineLevel="0" collapsed="false">
      <c r="A436" s="10"/>
      <c r="B436" s="10"/>
      <c r="C436" s="10"/>
      <c r="D436" s="10"/>
    </row>
    <row r="437" customFormat="false" ht="15.75" hidden="false" customHeight="true" outlineLevel="0" collapsed="false">
      <c r="A437" s="10"/>
      <c r="B437" s="10"/>
      <c r="C437" s="10"/>
      <c r="D437" s="10"/>
    </row>
    <row r="438" customFormat="false" ht="15.75" hidden="false" customHeight="true" outlineLevel="0" collapsed="false">
      <c r="A438" s="10"/>
      <c r="B438" s="10"/>
      <c r="C438" s="10"/>
      <c r="D438" s="10"/>
    </row>
    <row r="439" customFormat="false" ht="15.75" hidden="false" customHeight="true" outlineLevel="0" collapsed="false">
      <c r="A439" s="10"/>
      <c r="B439" s="10"/>
      <c r="C439" s="10"/>
      <c r="D439" s="10"/>
    </row>
    <row r="440" customFormat="false" ht="15.75" hidden="false" customHeight="true" outlineLevel="0" collapsed="false">
      <c r="A440" s="10"/>
      <c r="B440" s="10"/>
      <c r="C440" s="10"/>
      <c r="D440" s="10"/>
    </row>
    <row r="441" customFormat="false" ht="15.75" hidden="false" customHeight="true" outlineLevel="0" collapsed="false">
      <c r="A441" s="10"/>
      <c r="B441" s="10"/>
      <c r="C441" s="10"/>
      <c r="D441" s="10"/>
    </row>
    <row r="442" customFormat="false" ht="15.75" hidden="false" customHeight="true" outlineLevel="0" collapsed="false">
      <c r="A442" s="10"/>
      <c r="B442" s="10"/>
      <c r="C442" s="10"/>
      <c r="D442" s="10"/>
    </row>
    <row r="443" customFormat="false" ht="15.75" hidden="false" customHeight="true" outlineLevel="0" collapsed="false">
      <c r="A443" s="10"/>
      <c r="B443" s="10"/>
      <c r="C443" s="10"/>
      <c r="D443" s="10"/>
    </row>
    <row r="444" customFormat="false" ht="15.75" hidden="false" customHeight="true" outlineLevel="0" collapsed="false">
      <c r="A444" s="10"/>
      <c r="B444" s="10"/>
      <c r="C444" s="10"/>
      <c r="D444" s="10"/>
    </row>
    <row r="445" customFormat="false" ht="15.75" hidden="false" customHeight="true" outlineLevel="0" collapsed="false">
      <c r="A445" s="10"/>
      <c r="B445" s="10"/>
      <c r="C445" s="10"/>
      <c r="D445" s="10"/>
    </row>
    <row r="446" customFormat="false" ht="15.75" hidden="false" customHeight="true" outlineLevel="0" collapsed="false">
      <c r="A446" s="10"/>
      <c r="B446" s="10"/>
      <c r="C446" s="10"/>
      <c r="D446" s="10"/>
    </row>
    <row r="447" customFormat="false" ht="15.75" hidden="false" customHeight="true" outlineLevel="0" collapsed="false">
      <c r="A447" s="10"/>
      <c r="B447" s="10"/>
      <c r="C447" s="10"/>
      <c r="D447" s="10"/>
    </row>
    <row r="448" customFormat="false" ht="15.75" hidden="false" customHeight="true" outlineLevel="0" collapsed="false">
      <c r="A448" s="10"/>
      <c r="B448" s="10"/>
      <c r="C448" s="10"/>
      <c r="D448" s="10"/>
    </row>
    <row r="449" customFormat="false" ht="15.75" hidden="false" customHeight="true" outlineLevel="0" collapsed="false">
      <c r="A449" s="10"/>
      <c r="B449" s="10"/>
      <c r="C449" s="10"/>
      <c r="D449" s="10"/>
    </row>
    <row r="450" customFormat="false" ht="15.75" hidden="false" customHeight="true" outlineLevel="0" collapsed="false">
      <c r="A450" s="10"/>
      <c r="B450" s="10"/>
      <c r="C450" s="10"/>
      <c r="D450" s="10"/>
    </row>
    <row r="451" customFormat="false" ht="15.75" hidden="false" customHeight="true" outlineLevel="0" collapsed="false">
      <c r="A451" s="10"/>
      <c r="B451" s="10"/>
      <c r="C451" s="10"/>
      <c r="D451" s="10"/>
    </row>
    <row r="452" customFormat="false" ht="15.75" hidden="false" customHeight="true" outlineLevel="0" collapsed="false">
      <c r="A452" s="10"/>
      <c r="B452" s="10"/>
      <c r="C452" s="10"/>
      <c r="D452" s="10"/>
    </row>
    <row r="453" customFormat="false" ht="15.75" hidden="false" customHeight="true" outlineLevel="0" collapsed="false">
      <c r="A453" s="10"/>
      <c r="B453" s="10"/>
      <c r="C453" s="10"/>
      <c r="D453" s="10"/>
    </row>
    <row r="454" customFormat="false" ht="15.75" hidden="false" customHeight="true" outlineLevel="0" collapsed="false">
      <c r="A454" s="10"/>
      <c r="B454" s="10"/>
      <c r="C454" s="10"/>
      <c r="D454" s="10"/>
    </row>
    <row r="455" customFormat="false" ht="15.75" hidden="false" customHeight="true" outlineLevel="0" collapsed="false">
      <c r="A455" s="10"/>
      <c r="B455" s="10"/>
      <c r="C455" s="10"/>
      <c r="D455" s="10"/>
    </row>
    <row r="456" customFormat="false" ht="15.75" hidden="false" customHeight="true" outlineLevel="0" collapsed="false">
      <c r="A456" s="10"/>
      <c r="B456" s="10"/>
      <c r="C456" s="10"/>
      <c r="D456" s="10"/>
    </row>
    <row r="457" customFormat="false" ht="15.75" hidden="false" customHeight="true" outlineLevel="0" collapsed="false">
      <c r="A457" s="10"/>
      <c r="B457" s="10"/>
      <c r="C457" s="10"/>
      <c r="D457" s="10"/>
    </row>
    <row r="458" customFormat="false" ht="15.75" hidden="false" customHeight="true" outlineLevel="0" collapsed="false">
      <c r="A458" s="10"/>
      <c r="B458" s="10"/>
      <c r="C458" s="10"/>
      <c r="D458" s="10"/>
    </row>
    <row r="459" customFormat="false" ht="15.75" hidden="false" customHeight="true" outlineLevel="0" collapsed="false">
      <c r="A459" s="10"/>
      <c r="B459" s="10"/>
      <c r="C459" s="10"/>
      <c r="D459" s="10"/>
    </row>
    <row r="460" customFormat="false" ht="15.75" hidden="false" customHeight="true" outlineLevel="0" collapsed="false">
      <c r="A460" s="10"/>
      <c r="B460" s="10"/>
      <c r="C460" s="10"/>
      <c r="D460" s="10"/>
    </row>
    <row r="461" customFormat="false" ht="15.75" hidden="false" customHeight="true" outlineLevel="0" collapsed="false">
      <c r="A461" s="10"/>
      <c r="B461" s="10"/>
      <c r="C461" s="10"/>
      <c r="D461" s="10"/>
    </row>
    <row r="462" customFormat="false" ht="15.75" hidden="false" customHeight="true" outlineLevel="0" collapsed="false">
      <c r="A462" s="10"/>
      <c r="B462" s="10"/>
      <c r="C462" s="10"/>
      <c r="D462" s="10"/>
    </row>
    <row r="463" customFormat="false" ht="15.75" hidden="false" customHeight="true" outlineLevel="0" collapsed="false">
      <c r="A463" s="10"/>
      <c r="B463" s="10"/>
      <c r="C463" s="10"/>
      <c r="D463" s="10"/>
    </row>
    <row r="464" customFormat="false" ht="15.75" hidden="false" customHeight="true" outlineLevel="0" collapsed="false">
      <c r="A464" s="10"/>
      <c r="B464" s="10"/>
      <c r="C464" s="10"/>
      <c r="D464" s="10"/>
    </row>
    <row r="465" customFormat="false" ht="15.75" hidden="false" customHeight="true" outlineLevel="0" collapsed="false">
      <c r="A465" s="10"/>
      <c r="B465" s="10"/>
      <c r="C465" s="10"/>
      <c r="D465" s="10"/>
    </row>
    <row r="466" customFormat="false" ht="15.75" hidden="false" customHeight="true" outlineLevel="0" collapsed="false">
      <c r="A466" s="10"/>
      <c r="B466" s="10"/>
      <c r="C466" s="10"/>
      <c r="D466" s="10"/>
    </row>
    <row r="467" customFormat="false" ht="15.75" hidden="false" customHeight="true" outlineLevel="0" collapsed="false">
      <c r="A467" s="10"/>
      <c r="B467" s="10"/>
      <c r="C467" s="10"/>
      <c r="D467" s="10"/>
    </row>
    <row r="468" customFormat="false" ht="15.75" hidden="false" customHeight="true" outlineLevel="0" collapsed="false">
      <c r="A468" s="10"/>
      <c r="B468" s="10"/>
      <c r="C468" s="10"/>
      <c r="D468" s="10"/>
    </row>
    <row r="469" customFormat="false" ht="15.75" hidden="false" customHeight="true" outlineLevel="0" collapsed="false">
      <c r="A469" s="10"/>
      <c r="B469" s="10"/>
      <c r="C469" s="10"/>
      <c r="D469" s="10"/>
    </row>
    <row r="470" customFormat="false" ht="15.75" hidden="false" customHeight="true" outlineLevel="0" collapsed="false">
      <c r="A470" s="10"/>
      <c r="B470" s="10"/>
      <c r="C470" s="10"/>
      <c r="D470" s="10"/>
    </row>
    <row r="471" customFormat="false" ht="15.75" hidden="false" customHeight="true" outlineLevel="0" collapsed="false">
      <c r="A471" s="10"/>
      <c r="B471" s="10"/>
      <c r="C471" s="10"/>
      <c r="D471" s="10"/>
    </row>
    <row r="472" customFormat="false" ht="15.75" hidden="false" customHeight="true" outlineLevel="0" collapsed="false">
      <c r="A472" s="10"/>
      <c r="B472" s="10"/>
      <c r="C472" s="10"/>
      <c r="D472" s="10"/>
    </row>
    <row r="473" customFormat="false" ht="15.75" hidden="false" customHeight="true" outlineLevel="0" collapsed="false">
      <c r="A473" s="10"/>
      <c r="B473" s="10"/>
      <c r="C473" s="10"/>
      <c r="D473" s="10"/>
    </row>
    <row r="474" customFormat="false" ht="15.75" hidden="false" customHeight="true" outlineLevel="0" collapsed="false">
      <c r="A474" s="10"/>
      <c r="B474" s="10"/>
      <c r="C474" s="10"/>
      <c r="D474" s="10"/>
    </row>
    <row r="475" customFormat="false" ht="15.75" hidden="false" customHeight="true" outlineLevel="0" collapsed="false">
      <c r="A475" s="10"/>
      <c r="B475" s="10"/>
      <c r="C475" s="10"/>
      <c r="D475" s="10"/>
    </row>
    <row r="476" customFormat="false" ht="15.75" hidden="false" customHeight="true" outlineLevel="0" collapsed="false">
      <c r="A476" s="10"/>
      <c r="B476" s="10"/>
      <c r="C476" s="10"/>
      <c r="D476" s="10"/>
    </row>
    <row r="477" customFormat="false" ht="15.75" hidden="false" customHeight="true" outlineLevel="0" collapsed="false">
      <c r="A477" s="10"/>
      <c r="B477" s="10"/>
      <c r="C477" s="10"/>
      <c r="D477" s="10"/>
    </row>
    <row r="478" customFormat="false" ht="15.75" hidden="false" customHeight="true" outlineLevel="0" collapsed="false">
      <c r="A478" s="10"/>
      <c r="B478" s="10"/>
      <c r="C478" s="10"/>
      <c r="D478" s="10"/>
    </row>
    <row r="479" customFormat="false" ht="15.75" hidden="false" customHeight="true" outlineLevel="0" collapsed="false">
      <c r="A479" s="10"/>
      <c r="B479" s="10"/>
      <c r="C479" s="10"/>
      <c r="D479" s="10"/>
    </row>
    <row r="480" customFormat="false" ht="15.75" hidden="false" customHeight="true" outlineLevel="0" collapsed="false">
      <c r="A480" s="10"/>
      <c r="B480" s="10"/>
      <c r="C480" s="10"/>
      <c r="D480" s="10"/>
    </row>
    <row r="481" customFormat="false" ht="15.75" hidden="false" customHeight="true" outlineLevel="0" collapsed="false">
      <c r="A481" s="10"/>
      <c r="B481" s="10"/>
      <c r="C481" s="10"/>
      <c r="D481" s="10"/>
    </row>
    <row r="482" customFormat="false" ht="15.75" hidden="false" customHeight="true" outlineLevel="0" collapsed="false">
      <c r="A482" s="10"/>
      <c r="B482" s="10"/>
      <c r="C482" s="10"/>
      <c r="D482" s="10"/>
    </row>
    <row r="483" customFormat="false" ht="15.75" hidden="false" customHeight="true" outlineLevel="0" collapsed="false">
      <c r="A483" s="10"/>
      <c r="B483" s="10"/>
      <c r="C483" s="10"/>
      <c r="D483" s="10"/>
    </row>
    <row r="484" customFormat="false" ht="15.75" hidden="false" customHeight="true" outlineLevel="0" collapsed="false">
      <c r="A484" s="10"/>
      <c r="B484" s="10"/>
      <c r="C484" s="10"/>
      <c r="D484" s="10"/>
    </row>
    <row r="485" customFormat="false" ht="15.75" hidden="false" customHeight="true" outlineLevel="0" collapsed="false">
      <c r="A485" s="10"/>
      <c r="B485" s="10"/>
      <c r="C485" s="10"/>
      <c r="D485" s="10"/>
    </row>
    <row r="486" customFormat="false" ht="15.75" hidden="false" customHeight="true" outlineLevel="0" collapsed="false">
      <c r="A486" s="10"/>
      <c r="B486" s="10"/>
      <c r="C486" s="10"/>
      <c r="D486" s="10"/>
    </row>
    <row r="487" customFormat="false" ht="15.75" hidden="false" customHeight="true" outlineLevel="0" collapsed="false">
      <c r="A487" s="10"/>
      <c r="B487" s="10"/>
      <c r="C487" s="10"/>
      <c r="D487" s="10"/>
    </row>
    <row r="488" customFormat="false" ht="15.75" hidden="false" customHeight="true" outlineLevel="0" collapsed="false">
      <c r="A488" s="10"/>
      <c r="B488" s="10"/>
      <c r="C488" s="10"/>
      <c r="D488" s="10"/>
    </row>
    <row r="489" customFormat="false" ht="15.75" hidden="false" customHeight="true" outlineLevel="0" collapsed="false">
      <c r="A489" s="10"/>
      <c r="B489" s="10"/>
      <c r="C489" s="10"/>
      <c r="D489" s="10"/>
    </row>
    <row r="490" customFormat="false" ht="15.75" hidden="false" customHeight="true" outlineLevel="0" collapsed="false">
      <c r="A490" s="10"/>
      <c r="B490" s="10"/>
      <c r="C490" s="10"/>
      <c r="D490" s="10"/>
    </row>
    <row r="491" customFormat="false" ht="15.75" hidden="false" customHeight="true" outlineLevel="0" collapsed="false">
      <c r="A491" s="10"/>
      <c r="B491" s="10"/>
      <c r="C491" s="10"/>
      <c r="D491" s="10"/>
    </row>
    <row r="492" customFormat="false" ht="15.75" hidden="false" customHeight="true" outlineLevel="0" collapsed="false">
      <c r="A492" s="10"/>
      <c r="B492" s="10"/>
      <c r="C492" s="10"/>
      <c r="D492" s="10"/>
    </row>
    <row r="493" customFormat="false" ht="15.75" hidden="false" customHeight="true" outlineLevel="0" collapsed="false">
      <c r="A493" s="10"/>
      <c r="B493" s="10"/>
      <c r="C493" s="10"/>
      <c r="D493" s="10"/>
    </row>
    <row r="494" customFormat="false" ht="15.75" hidden="false" customHeight="true" outlineLevel="0" collapsed="false">
      <c r="A494" s="10"/>
      <c r="B494" s="10"/>
      <c r="C494" s="10"/>
      <c r="D494" s="10"/>
    </row>
    <row r="495" customFormat="false" ht="15.75" hidden="false" customHeight="true" outlineLevel="0" collapsed="false">
      <c r="A495" s="10"/>
      <c r="B495" s="10"/>
      <c r="C495" s="10"/>
      <c r="D495" s="10"/>
    </row>
    <row r="496" customFormat="false" ht="15.75" hidden="false" customHeight="true" outlineLevel="0" collapsed="false">
      <c r="A496" s="10"/>
      <c r="B496" s="10"/>
      <c r="C496" s="10"/>
      <c r="D496" s="10"/>
    </row>
    <row r="497" customFormat="false" ht="15.75" hidden="false" customHeight="true" outlineLevel="0" collapsed="false">
      <c r="A497" s="10"/>
      <c r="B497" s="10"/>
      <c r="C497" s="10"/>
      <c r="D497" s="10"/>
    </row>
    <row r="498" customFormat="false" ht="15.75" hidden="false" customHeight="true" outlineLevel="0" collapsed="false">
      <c r="A498" s="10"/>
      <c r="B498" s="10"/>
      <c r="C498" s="10"/>
      <c r="D498" s="10"/>
    </row>
    <row r="499" customFormat="false" ht="15.75" hidden="false" customHeight="true" outlineLevel="0" collapsed="false">
      <c r="A499" s="10"/>
      <c r="B499" s="10"/>
      <c r="C499" s="10"/>
      <c r="D499" s="10"/>
    </row>
    <row r="500" customFormat="false" ht="15.75" hidden="false" customHeight="true" outlineLevel="0" collapsed="false">
      <c r="A500" s="10"/>
      <c r="B500" s="10"/>
      <c r="C500" s="10"/>
      <c r="D500" s="10"/>
    </row>
    <row r="501" customFormat="false" ht="15.75" hidden="false" customHeight="true" outlineLevel="0" collapsed="false">
      <c r="A501" s="10"/>
      <c r="B501" s="10"/>
      <c r="C501" s="10"/>
      <c r="D501" s="10"/>
    </row>
    <row r="502" customFormat="false" ht="15.75" hidden="false" customHeight="true" outlineLevel="0" collapsed="false">
      <c r="A502" s="10"/>
      <c r="B502" s="10"/>
      <c r="C502" s="10"/>
      <c r="D502" s="10"/>
    </row>
    <row r="503" customFormat="false" ht="15.75" hidden="false" customHeight="true" outlineLevel="0" collapsed="false">
      <c r="A503" s="10"/>
      <c r="B503" s="10"/>
      <c r="C503" s="10"/>
      <c r="D503" s="10"/>
    </row>
    <row r="504" customFormat="false" ht="15.75" hidden="false" customHeight="true" outlineLevel="0" collapsed="false">
      <c r="A504" s="10"/>
      <c r="B504" s="10"/>
      <c r="C504" s="10"/>
      <c r="D504" s="10"/>
    </row>
    <row r="505" customFormat="false" ht="15.75" hidden="false" customHeight="true" outlineLevel="0" collapsed="false">
      <c r="A505" s="10"/>
      <c r="B505" s="10"/>
      <c r="C505" s="10"/>
      <c r="D505" s="10"/>
    </row>
    <row r="506" customFormat="false" ht="15.75" hidden="false" customHeight="true" outlineLevel="0" collapsed="false">
      <c r="A506" s="10"/>
      <c r="B506" s="10"/>
      <c r="C506" s="10"/>
      <c r="D506" s="10"/>
    </row>
    <row r="507" customFormat="false" ht="15.75" hidden="false" customHeight="true" outlineLevel="0" collapsed="false">
      <c r="A507" s="10"/>
      <c r="B507" s="10"/>
      <c r="C507" s="10"/>
      <c r="D507" s="10"/>
    </row>
    <row r="508" customFormat="false" ht="15.75" hidden="false" customHeight="true" outlineLevel="0" collapsed="false">
      <c r="A508" s="10"/>
      <c r="B508" s="10"/>
      <c r="C508" s="10"/>
      <c r="D508" s="10"/>
    </row>
    <row r="509" customFormat="false" ht="15.75" hidden="false" customHeight="true" outlineLevel="0" collapsed="false">
      <c r="A509" s="10"/>
      <c r="B509" s="10"/>
      <c r="C509" s="10"/>
      <c r="D509" s="10"/>
    </row>
    <row r="510" customFormat="false" ht="15.75" hidden="false" customHeight="true" outlineLevel="0" collapsed="false">
      <c r="A510" s="10"/>
      <c r="B510" s="10"/>
      <c r="C510" s="10"/>
      <c r="D510" s="10"/>
    </row>
    <row r="511" customFormat="false" ht="15.75" hidden="false" customHeight="true" outlineLevel="0" collapsed="false">
      <c r="A511" s="10"/>
      <c r="B511" s="10"/>
      <c r="C511" s="10"/>
      <c r="D511" s="10"/>
    </row>
    <row r="512" customFormat="false" ht="15.75" hidden="false" customHeight="true" outlineLevel="0" collapsed="false">
      <c r="A512" s="10"/>
      <c r="B512" s="10"/>
      <c r="C512" s="10"/>
      <c r="D512" s="10"/>
    </row>
    <row r="513" customFormat="false" ht="15.75" hidden="false" customHeight="true" outlineLevel="0" collapsed="false">
      <c r="A513" s="10"/>
      <c r="B513" s="10"/>
      <c r="C513" s="10"/>
      <c r="D513" s="10"/>
    </row>
    <row r="514" customFormat="false" ht="15.75" hidden="false" customHeight="true" outlineLevel="0" collapsed="false">
      <c r="A514" s="10"/>
      <c r="B514" s="10"/>
      <c r="C514" s="10"/>
      <c r="D514" s="10"/>
    </row>
    <row r="515" customFormat="false" ht="15.75" hidden="false" customHeight="true" outlineLevel="0" collapsed="false">
      <c r="A515" s="10"/>
      <c r="B515" s="10"/>
      <c r="C515" s="10"/>
      <c r="D515" s="10"/>
    </row>
    <row r="516" customFormat="false" ht="15.75" hidden="false" customHeight="true" outlineLevel="0" collapsed="false">
      <c r="A516" s="10"/>
      <c r="B516" s="10"/>
      <c r="C516" s="10"/>
      <c r="D516" s="10"/>
    </row>
    <row r="517" customFormat="false" ht="15.75" hidden="false" customHeight="true" outlineLevel="0" collapsed="false">
      <c r="A517" s="10"/>
      <c r="B517" s="10"/>
      <c r="C517" s="10"/>
      <c r="D517" s="10"/>
    </row>
    <row r="518" customFormat="false" ht="15.75" hidden="false" customHeight="true" outlineLevel="0" collapsed="false">
      <c r="A518" s="10"/>
      <c r="B518" s="10"/>
      <c r="C518" s="10"/>
      <c r="D518" s="10"/>
    </row>
    <row r="519" customFormat="false" ht="15.75" hidden="false" customHeight="true" outlineLevel="0" collapsed="false">
      <c r="A519" s="10"/>
      <c r="B519" s="10"/>
      <c r="C519" s="10"/>
      <c r="D519" s="10"/>
    </row>
    <row r="520" customFormat="false" ht="15.75" hidden="false" customHeight="true" outlineLevel="0" collapsed="false">
      <c r="A520" s="10"/>
      <c r="B520" s="10"/>
      <c r="C520" s="10"/>
      <c r="D520" s="10"/>
    </row>
    <row r="521" customFormat="false" ht="15.75" hidden="false" customHeight="true" outlineLevel="0" collapsed="false">
      <c r="A521" s="10"/>
      <c r="B521" s="10"/>
      <c r="C521" s="10"/>
      <c r="D521" s="10"/>
    </row>
    <row r="522" customFormat="false" ht="15.75" hidden="false" customHeight="true" outlineLevel="0" collapsed="false">
      <c r="A522" s="10"/>
      <c r="B522" s="10"/>
      <c r="C522" s="10"/>
      <c r="D522" s="10"/>
    </row>
    <row r="523" customFormat="false" ht="15.75" hidden="false" customHeight="true" outlineLevel="0" collapsed="false">
      <c r="A523" s="10"/>
      <c r="B523" s="10"/>
      <c r="C523" s="10"/>
      <c r="D523" s="10"/>
    </row>
    <row r="524" customFormat="false" ht="15.75" hidden="false" customHeight="true" outlineLevel="0" collapsed="false">
      <c r="A524" s="10"/>
      <c r="B524" s="10"/>
      <c r="C524" s="10"/>
      <c r="D524" s="10"/>
    </row>
    <row r="525" customFormat="false" ht="15.75" hidden="false" customHeight="true" outlineLevel="0" collapsed="false">
      <c r="A525" s="10"/>
      <c r="B525" s="10"/>
      <c r="C525" s="10"/>
      <c r="D525" s="10"/>
    </row>
    <row r="526" customFormat="false" ht="15.75" hidden="false" customHeight="true" outlineLevel="0" collapsed="false">
      <c r="A526" s="10"/>
      <c r="B526" s="10"/>
      <c r="C526" s="10"/>
      <c r="D526" s="10"/>
    </row>
    <row r="527" customFormat="false" ht="15.75" hidden="false" customHeight="true" outlineLevel="0" collapsed="false">
      <c r="A527" s="10"/>
      <c r="B527" s="10"/>
      <c r="C527" s="10"/>
      <c r="D527" s="10"/>
    </row>
    <row r="528" customFormat="false" ht="15.75" hidden="false" customHeight="true" outlineLevel="0" collapsed="false">
      <c r="A528" s="10"/>
      <c r="B528" s="10"/>
      <c r="C528" s="10"/>
      <c r="D528" s="10"/>
    </row>
    <row r="529" customFormat="false" ht="15.75" hidden="false" customHeight="true" outlineLevel="0" collapsed="false">
      <c r="A529" s="10"/>
      <c r="B529" s="10"/>
      <c r="C529" s="10"/>
      <c r="D529" s="10"/>
    </row>
    <row r="530" customFormat="false" ht="15.75" hidden="false" customHeight="true" outlineLevel="0" collapsed="false">
      <c r="A530" s="10"/>
      <c r="B530" s="10"/>
      <c r="C530" s="10"/>
      <c r="D530" s="10"/>
    </row>
    <row r="531" customFormat="false" ht="15.75" hidden="false" customHeight="true" outlineLevel="0" collapsed="false">
      <c r="A531" s="10"/>
      <c r="B531" s="10"/>
      <c r="C531" s="10"/>
      <c r="D531" s="10"/>
    </row>
    <row r="532" customFormat="false" ht="15.75" hidden="false" customHeight="true" outlineLevel="0" collapsed="false">
      <c r="A532" s="10"/>
      <c r="B532" s="10"/>
      <c r="C532" s="10"/>
      <c r="D532" s="10"/>
    </row>
    <row r="533" customFormat="false" ht="15.75" hidden="false" customHeight="true" outlineLevel="0" collapsed="false">
      <c r="A533" s="10"/>
      <c r="B533" s="10"/>
      <c r="C533" s="10"/>
      <c r="D533" s="10"/>
    </row>
    <row r="534" customFormat="false" ht="15.75" hidden="false" customHeight="true" outlineLevel="0" collapsed="false">
      <c r="A534" s="10"/>
      <c r="B534" s="10"/>
      <c r="C534" s="10"/>
      <c r="D534" s="10"/>
    </row>
    <row r="535" customFormat="false" ht="15.75" hidden="false" customHeight="true" outlineLevel="0" collapsed="false">
      <c r="A535" s="10"/>
      <c r="B535" s="10"/>
      <c r="C535" s="10"/>
      <c r="D535" s="10"/>
    </row>
    <row r="536" customFormat="false" ht="15.75" hidden="false" customHeight="true" outlineLevel="0" collapsed="false">
      <c r="A536" s="10"/>
      <c r="B536" s="10"/>
      <c r="C536" s="10"/>
      <c r="D536" s="10"/>
    </row>
    <row r="537" customFormat="false" ht="15.75" hidden="false" customHeight="true" outlineLevel="0" collapsed="false">
      <c r="A537" s="10"/>
      <c r="B537" s="10"/>
      <c r="C537" s="10"/>
      <c r="D537" s="10"/>
    </row>
    <row r="538" customFormat="false" ht="15.75" hidden="false" customHeight="true" outlineLevel="0" collapsed="false">
      <c r="A538" s="10"/>
      <c r="B538" s="10"/>
      <c r="C538" s="10"/>
      <c r="D538" s="10"/>
    </row>
    <row r="539" customFormat="false" ht="15.75" hidden="false" customHeight="true" outlineLevel="0" collapsed="false">
      <c r="A539" s="10"/>
      <c r="B539" s="10"/>
      <c r="C539" s="10"/>
      <c r="D539" s="10"/>
    </row>
    <row r="540" customFormat="false" ht="15.75" hidden="false" customHeight="true" outlineLevel="0" collapsed="false">
      <c r="A540" s="10"/>
      <c r="B540" s="10"/>
      <c r="C540" s="10"/>
      <c r="D540" s="10"/>
    </row>
    <row r="541" customFormat="false" ht="15.75" hidden="false" customHeight="true" outlineLevel="0" collapsed="false">
      <c r="A541" s="10"/>
      <c r="B541" s="10"/>
      <c r="C541" s="10"/>
      <c r="D541" s="10"/>
    </row>
    <row r="542" customFormat="false" ht="15.75" hidden="false" customHeight="true" outlineLevel="0" collapsed="false">
      <c r="A542" s="10"/>
      <c r="B542" s="10"/>
      <c r="C542" s="10"/>
      <c r="D542" s="10"/>
    </row>
    <row r="543" customFormat="false" ht="15.75" hidden="false" customHeight="true" outlineLevel="0" collapsed="false">
      <c r="A543" s="10"/>
      <c r="B543" s="10"/>
      <c r="C543" s="10"/>
      <c r="D543" s="10"/>
    </row>
    <row r="544" customFormat="false" ht="15.75" hidden="false" customHeight="true" outlineLevel="0" collapsed="false">
      <c r="A544" s="10"/>
      <c r="B544" s="10"/>
      <c r="C544" s="10"/>
      <c r="D544" s="10"/>
    </row>
    <row r="545" customFormat="false" ht="15.75" hidden="false" customHeight="true" outlineLevel="0" collapsed="false">
      <c r="A545" s="10"/>
      <c r="B545" s="10"/>
      <c r="C545" s="10"/>
      <c r="D545" s="10"/>
    </row>
    <row r="546" customFormat="false" ht="15.75" hidden="false" customHeight="true" outlineLevel="0" collapsed="false">
      <c r="A546" s="10"/>
      <c r="B546" s="10"/>
      <c r="C546" s="10"/>
      <c r="D546" s="10"/>
    </row>
    <row r="547" customFormat="false" ht="15.75" hidden="false" customHeight="true" outlineLevel="0" collapsed="false">
      <c r="A547" s="10"/>
      <c r="B547" s="10"/>
      <c r="C547" s="10"/>
      <c r="D547" s="10"/>
    </row>
    <row r="548" customFormat="false" ht="15.75" hidden="false" customHeight="true" outlineLevel="0" collapsed="false">
      <c r="A548" s="10"/>
      <c r="B548" s="10"/>
      <c r="C548" s="10"/>
      <c r="D548" s="10"/>
    </row>
    <row r="549" customFormat="false" ht="15.75" hidden="false" customHeight="true" outlineLevel="0" collapsed="false">
      <c r="A549" s="10"/>
      <c r="B549" s="10"/>
      <c r="C549" s="10"/>
      <c r="D549" s="10"/>
    </row>
    <row r="550" customFormat="false" ht="15.75" hidden="false" customHeight="true" outlineLevel="0" collapsed="false">
      <c r="A550" s="10"/>
      <c r="B550" s="10"/>
      <c r="C550" s="10"/>
      <c r="D550" s="10"/>
    </row>
    <row r="551" customFormat="false" ht="15.75" hidden="false" customHeight="true" outlineLevel="0" collapsed="false">
      <c r="A551" s="10"/>
      <c r="B551" s="10"/>
      <c r="C551" s="10"/>
      <c r="D551" s="10"/>
    </row>
    <row r="552" customFormat="false" ht="15.75" hidden="false" customHeight="true" outlineLevel="0" collapsed="false">
      <c r="A552" s="10"/>
      <c r="B552" s="10"/>
      <c r="C552" s="10"/>
      <c r="D552" s="10"/>
    </row>
    <row r="553" customFormat="false" ht="15.75" hidden="false" customHeight="true" outlineLevel="0" collapsed="false">
      <c r="A553" s="10"/>
      <c r="B553" s="10"/>
      <c r="C553" s="10"/>
      <c r="D553" s="10"/>
    </row>
    <row r="554" customFormat="false" ht="15.75" hidden="false" customHeight="true" outlineLevel="0" collapsed="false">
      <c r="A554" s="10"/>
      <c r="B554" s="10"/>
      <c r="C554" s="10"/>
      <c r="D554" s="10"/>
    </row>
    <row r="555" customFormat="false" ht="15.75" hidden="false" customHeight="true" outlineLevel="0" collapsed="false">
      <c r="A555" s="10"/>
      <c r="B555" s="10"/>
      <c r="C555" s="10"/>
      <c r="D555" s="10"/>
    </row>
    <row r="556" customFormat="false" ht="15.75" hidden="false" customHeight="true" outlineLevel="0" collapsed="false">
      <c r="A556" s="10"/>
      <c r="B556" s="10"/>
      <c r="C556" s="10"/>
      <c r="D556" s="10"/>
    </row>
    <row r="557" customFormat="false" ht="15.75" hidden="false" customHeight="true" outlineLevel="0" collapsed="false">
      <c r="A557" s="10"/>
      <c r="B557" s="10"/>
      <c r="C557" s="10"/>
      <c r="D557" s="10"/>
    </row>
    <row r="558" customFormat="false" ht="15.75" hidden="false" customHeight="true" outlineLevel="0" collapsed="false">
      <c r="A558" s="10"/>
      <c r="B558" s="10"/>
      <c r="C558" s="10"/>
      <c r="D558" s="10"/>
    </row>
    <row r="559" customFormat="false" ht="15.75" hidden="false" customHeight="true" outlineLevel="0" collapsed="false">
      <c r="A559" s="10"/>
      <c r="B559" s="10"/>
      <c r="C559" s="10"/>
      <c r="D559" s="10"/>
    </row>
    <row r="560" customFormat="false" ht="15.75" hidden="false" customHeight="true" outlineLevel="0" collapsed="false">
      <c r="A560" s="10"/>
      <c r="B560" s="10"/>
      <c r="C560" s="10"/>
      <c r="D560" s="10"/>
    </row>
    <row r="561" customFormat="false" ht="15.75" hidden="false" customHeight="true" outlineLevel="0" collapsed="false">
      <c r="A561" s="10"/>
      <c r="B561" s="10"/>
      <c r="C561" s="10"/>
      <c r="D561" s="10"/>
    </row>
    <row r="562" customFormat="false" ht="15.75" hidden="false" customHeight="true" outlineLevel="0" collapsed="false">
      <c r="A562" s="10"/>
      <c r="B562" s="10"/>
      <c r="C562" s="10"/>
      <c r="D562" s="10"/>
    </row>
    <row r="563" customFormat="false" ht="15.75" hidden="false" customHeight="true" outlineLevel="0" collapsed="false">
      <c r="A563" s="10"/>
      <c r="B563" s="10"/>
      <c r="C563" s="10"/>
      <c r="D563" s="10"/>
    </row>
    <row r="564" customFormat="false" ht="15.75" hidden="false" customHeight="true" outlineLevel="0" collapsed="false">
      <c r="A564" s="10"/>
      <c r="B564" s="10"/>
      <c r="C564" s="10"/>
      <c r="D564" s="10"/>
    </row>
    <row r="565" customFormat="false" ht="15.75" hidden="false" customHeight="true" outlineLevel="0" collapsed="false">
      <c r="A565" s="10"/>
      <c r="B565" s="10"/>
      <c r="C565" s="10"/>
      <c r="D565" s="10"/>
    </row>
    <row r="566" customFormat="false" ht="15.75" hidden="false" customHeight="true" outlineLevel="0" collapsed="false">
      <c r="A566" s="10"/>
      <c r="B566" s="10"/>
      <c r="C566" s="10"/>
      <c r="D566" s="10"/>
    </row>
    <row r="567" customFormat="false" ht="15.75" hidden="false" customHeight="true" outlineLevel="0" collapsed="false">
      <c r="A567" s="10"/>
      <c r="B567" s="10"/>
      <c r="C567" s="10"/>
      <c r="D567" s="10"/>
    </row>
    <row r="568" customFormat="false" ht="15.75" hidden="false" customHeight="true" outlineLevel="0" collapsed="false">
      <c r="A568" s="10"/>
      <c r="B568" s="10"/>
      <c r="C568" s="10"/>
      <c r="D568" s="10"/>
    </row>
    <row r="569" customFormat="false" ht="15.75" hidden="false" customHeight="true" outlineLevel="0" collapsed="false">
      <c r="A569" s="10"/>
      <c r="B569" s="10"/>
      <c r="C569" s="10"/>
      <c r="D569" s="10"/>
    </row>
    <row r="570" customFormat="false" ht="15.75" hidden="false" customHeight="true" outlineLevel="0" collapsed="false">
      <c r="A570" s="10"/>
      <c r="B570" s="10"/>
      <c r="C570" s="10"/>
      <c r="D570" s="10"/>
    </row>
    <row r="571" customFormat="false" ht="15.75" hidden="false" customHeight="true" outlineLevel="0" collapsed="false">
      <c r="A571" s="10"/>
      <c r="B571" s="10"/>
      <c r="C571" s="10"/>
      <c r="D571" s="10"/>
    </row>
    <row r="572" customFormat="false" ht="15.75" hidden="false" customHeight="true" outlineLevel="0" collapsed="false">
      <c r="A572" s="10"/>
      <c r="B572" s="10"/>
      <c r="C572" s="10"/>
      <c r="D572" s="10"/>
    </row>
    <row r="573" customFormat="false" ht="15.75" hidden="false" customHeight="true" outlineLevel="0" collapsed="false">
      <c r="A573" s="10"/>
      <c r="B573" s="10"/>
      <c r="C573" s="10"/>
      <c r="D573" s="10"/>
    </row>
    <row r="574" customFormat="false" ht="15.75" hidden="false" customHeight="true" outlineLevel="0" collapsed="false">
      <c r="A574" s="10"/>
      <c r="B574" s="10"/>
      <c r="C574" s="10"/>
      <c r="D574" s="10"/>
    </row>
    <row r="575" customFormat="false" ht="15.75" hidden="false" customHeight="true" outlineLevel="0" collapsed="false">
      <c r="A575" s="10"/>
      <c r="B575" s="10"/>
      <c r="C575" s="10"/>
      <c r="D575" s="10"/>
    </row>
    <row r="576" customFormat="false" ht="15.75" hidden="false" customHeight="true" outlineLevel="0" collapsed="false">
      <c r="A576" s="10"/>
      <c r="B576" s="10"/>
      <c r="C576" s="10"/>
      <c r="D576" s="10"/>
    </row>
    <row r="577" customFormat="false" ht="15.75" hidden="false" customHeight="true" outlineLevel="0" collapsed="false">
      <c r="A577" s="10"/>
      <c r="B577" s="10"/>
      <c r="C577" s="10"/>
      <c r="D577" s="10"/>
    </row>
    <row r="578" customFormat="false" ht="15.75" hidden="false" customHeight="true" outlineLevel="0" collapsed="false">
      <c r="A578" s="10"/>
      <c r="B578" s="10"/>
      <c r="C578" s="10"/>
      <c r="D578" s="10"/>
    </row>
    <row r="579" customFormat="false" ht="15.75" hidden="false" customHeight="true" outlineLevel="0" collapsed="false">
      <c r="A579" s="10"/>
      <c r="B579" s="10"/>
      <c r="C579" s="10"/>
      <c r="D579" s="10"/>
    </row>
    <row r="580" customFormat="false" ht="15.75" hidden="false" customHeight="true" outlineLevel="0" collapsed="false">
      <c r="A580" s="10"/>
      <c r="B580" s="10"/>
      <c r="C580" s="10"/>
      <c r="D580" s="10"/>
    </row>
    <row r="581" customFormat="false" ht="15.75" hidden="false" customHeight="true" outlineLevel="0" collapsed="false">
      <c r="A581" s="10"/>
      <c r="B581" s="10"/>
      <c r="C581" s="10"/>
      <c r="D581" s="10"/>
    </row>
    <row r="582" customFormat="false" ht="15.75" hidden="false" customHeight="true" outlineLevel="0" collapsed="false">
      <c r="A582" s="10"/>
      <c r="B582" s="10"/>
      <c r="C582" s="10"/>
      <c r="D582" s="10"/>
    </row>
    <row r="583" customFormat="false" ht="15.75" hidden="false" customHeight="true" outlineLevel="0" collapsed="false">
      <c r="A583" s="10"/>
      <c r="B583" s="10"/>
      <c r="C583" s="10"/>
      <c r="D583" s="10"/>
    </row>
    <row r="584" customFormat="false" ht="15.75" hidden="false" customHeight="true" outlineLevel="0" collapsed="false">
      <c r="A584" s="10"/>
      <c r="B584" s="10"/>
      <c r="C584" s="10"/>
      <c r="D584" s="10"/>
    </row>
    <row r="585" customFormat="false" ht="15.75" hidden="false" customHeight="true" outlineLevel="0" collapsed="false">
      <c r="A585" s="10"/>
      <c r="B585" s="10"/>
      <c r="C585" s="10"/>
      <c r="D585" s="10"/>
    </row>
    <row r="586" customFormat="false" ht="15.75" hidden="false" customHeight="true" outlineLevel="0" collapsed="false">
      <c r="A586" s="10"/>
      <c r="B586" s="10"/>
      <c r="C586" s="10"/>
      <c r="D586" s="10"/>
    </row>
    <row r="587" customFormat="false" ht="15.75" hidden="false" customHeight="true" outlineLevel="0" collapsed="false">
      <c r="A587" s="10"/>
      <c r="B587" s="10"/>
      <c r="C587" s="10"/>
      <c r="D587" s="10"/>
    </row>
    <row r="588" customFormat="false" ht="15.75" hidden="false" customHeight="true" outlineLevel="0" collapsed="false">
      <c r="A588" s="10"/>
      <c r="B588" s="10"/>
      <c r="C588" s="10"/>
      <c r="D588" s="10"/>
    </row>
    <row r="589" customFormat="false" ht="15.75" hidden="false" customHeight="true" outlineLevel="0" collapsed="false">
      <c r="A589" s="10"/>
      <c r="B589" s="10"/>
      <c r="C589" s="10"/>
      <c r="D589" s="10"/>
    </row>
    <row r="590" customFormat="false" ht="15.75" hidden="false" customHeight="true" outlineLevel="0" collapsed="false">
      <c r="A590" s="10"/>
      <c r="B590" s="10"/>
      <c r="C590" s="10"/>
      <c r="D590" s="10"/>
    </row>
    <row r="591" customFormat="false" ht="15.75" hidden="false" customHeight="true" outlineLevel="0" collapsed="false">
      <c r="A591" s="10"/>
      <c r="B591" s="10"/>
      <c r="C591" s="10"/>
      <c r="D591" s="10"/>
    </row>
    <row r="592" customFormat="false" ht="15.75" hidden="false" customHeight="true" outlineLevel="0" collapsed="false">
      <c r="A592" s="10"/>
      <c r="B592" s="10"/>
      <c r="C592" s="10"/>
      <c r="D592" s="10"/>
    </row>
    <row r="593" customFormat="false" ht="15.75" hidden="false" customHeight="true" outlineLevel="0" collapsed="false">
      <c r="A593" s="10"/>
      <c r="B593" s="10"/>
      <c r="C593" s="10"/>
      <c r="D593" s="10"/>
    </row>
    <row r="594" customFormat="false" ht="15.75" hidden="false" customHeight="true" outlineLevel="0" collapsed="false">
      <c r="A594" s="10"/>
      <c r="B594" s="10"/>
      <c r="C594" s="10"/>
      <c r="D594" s="10"/>
    </row>
    <row r="595" customFormat="false" ht="15.75" hidden="false" customHeight="true" outlineLevel="0" collapsed="false">
      <c r="A595" s="10"/>
      <c r="B595" s="10"/>
      <c r="C595" s="10"/>
      <c r="D595" s="10"/>
    </row>
    <row r="596" customFormat="false" ht="15.75" hidden="false" customHeight="true" outlineLevel="0" collapsed="false">
      <c r="A596" s="10"/>
      <c r="B596" s="10"/>
      <c r="C596" s="10"/>
      <c r="D596" s="10"/>
    </row>
    <row r="597" customFormat="false" ht="15.75" hidden="false" customHeight="true" outlineLevel="0" collapsed="false">
      <c r="A597" s="10"/>
      <c r="B597" s="10"/>
      <c r="C597" s="10"/>
      <c r="D597" s="10"/>
    </row>
    <row r="598" customFormat="false" ht="15.75" hidden="false" customHeight="true" outlineLevel="0" collapsed="false">
      <c r="A598" s="10"/>
      <c r="B598" s="10"/>
      <c r="C598" s="10"/>
      <c r="D598" s="10"/>
    </row>
    <row r="599" customFormat="false" ht="15.75" hidden="false" customHeight="true" outlineLevel="0" collapsed="false">
      <c r="A599" s="10"/>
      <c r="B599" s="10"/>
      <c r="C599" s="10"/>
      <c r="D599" s="10"/>
    </row>
    <row r="600" customFormat="false" ht="15.75" hidden="false" customHeight="true" outlineLevel="0" collapsed="false">
      <c r="A600" s="10"/>
      <c r="B600" s="10"/>
      <c r="C600" s="10"/>
      <c r="D600" s="10"/>
    </row>
    <row r="601" customFormat="false" ht="15.75" hidden="false" customHeight="true" outlineLevel="0" collapsed="false">
      <c r="A601" s="10"/>
      <c r="B601" s="10"/>
      <c r="C601" s="10"/>
      <c r="D601" s="10"/>
    </row>
    <row r="602" customFormat="false" ht="15.75" hidden="false" customHeight="true" outlineLevel="0" collapsed="false">
      <c r="A602" s="10"/>
      <c r="B602" s="10"/>
      <c r="C602" s="10"/>
      <c r="D602" s="10"/>
    </row>
    <row r="603" customFormat="false" ht="15.75" hidden="false" customHeight="true" outlineLevel="0" collapsed="false">
      <c r="A603" s="10"/>
      <c r="B603" s="10"/>
      <c r="C603" s="10"/>
      <c r="D603" s="10"/>
    </row>
    <row r="604" customFormat="false" ht="15.75" hidden="false" customHeight="true" outlineLevel="0" collapsed="false">
      <c r="A604" s="10"/>
      <c r="B604" s="10"/>
      <c r="C604" s="10"/>
      <c r="D604" s="10"/>
    </row>
    <row r="605" customFormat="false" ht="15.75" hidden="false" customHeight="true" outlineLevel="0" collapsed="false">
      <c r="A605" s="10"/>
      <c r="B605" s="10"/>
      <c r="C605" s="10"/>
      <c r="D605" s="10"/>
    </row>
    <row r="606" customFormat="false" ht="15.75" hidden="false" customHeight="true" outlineLevel="0" collapsed="false">
      <c r="A606" s="10"/>
      <c r="B606" s="10"/>
      <c r="C606" s="10"/>
      <c r="D606" s="10"/>
    </row>
    <row r="607" customFormat="false" ht="15.75" hidden="false" customHeight="true" outlineLevel="0" collapsed="false">
      <c r="A607" s="10"/>
      <c r="B607" s="10"/>
      <c r="C607" s="10"/>
      <c r="D607" s="10"/>
    </row>
    <row r="608" customFormat="false" ht="15.75" hidden="false" customHeight="true" outlineLevel="0" collapsed="false">
      <c r="A608" s="10"/>
      <c r="B608" s="10"/>
      <c r="C608" s="10"/>
      <c r="D608" s="10"/>
    </row>
    <row r="609" customFormat="false" ht="15.75" hidden="false" customHeight="true" outlineLevel="0" collapsed="false">
      <c r="A609" s="10"/>
      <c r="B609" s="10"/>
      <c r="C609" s="10"/>
      <c r="D609" s="10"/>
    </row>
    <row r="610" customFormat="false" ht="15.75" hidden="false" customHeight="true" outlineLevel="0" collapsed="false">
      <c r="A610" s="10"/>
      <c r="B610" s="10"/>
      <c r="C610" s="10"/>
      <c r="D610" s="10"/>
    </row>
    <row r="611" customFormat="false" ht="15.75" hidden="false" customHeight="true" outlineLevel="0" collapsed="false">
      <c r="A611" s="10"/>
      <c r="B611" s="10"/>
      <c r="C611" s="10"/>
      <c r="D611" s="10"/>
    </row>
    <row r="612" customFormat="false" ht="15.75" hidden="false" customHeight="true" outlineLevel="0" collapsed="false">
      <c r="A612" s="10"/>
      <c r="B612" s="10"/>
      <c r="C612" s="10"/>
      <c r="D612" s="10"/>
    </row>
    <row r="613" customFormat="false" ht="15.75" hidden="false" customHeight="true" outlineLevel="0" collapsed="false">
      <c r="A613" s="10"/>
      <c r="B613" s="10"/>
      <c r="C613" s="10"/>
      <c r="D613" s="10"/>
    </row>
    <row r="614" customFormat="false" ht="15.75" hidden="false" customHeight="true" outlineLevel="0" collapsed="false">
      <c r="A614" s="10"/>
      <c r="B614" s="10"/>
      <c r="C614" s="10"/>
      <c r="D614" s="10"/>
    </row>
    <row r="615" customFormat="false" ht="15.75" hidden="false" customHeight="true" outlineLevel="0" collapsed="false">
      <c r="A615" s="10"/>
      <c r="B615" s="10"/>
      <c r="C615" s="10"/>
      <c r="D615" s="10"/>
    </row>
    <row r="616" customFormat="false" ht="15.75" hidden="false" customHeight="true" outlineLevel="0" collapsed="false">
      <c r="A616" s="10"/>
      <c r="B616" s="10"/>
      <c r="C616" s="10"/>
      <c r="D616" s="10"/>
    </row>
    <row r="617" customFormat="false" ht="15.75" hidden="false" customHeight="true" outlineLevel="0" collapsed="false">
      <c r="A617" s="10"/>
      <c r="B617" s="10"/>
      <c r="C617" s="10"/>
      <c r="D617" s="10"/>
    </row>
    <row r="618" customFormat="false" ht="15.75" hidden="false" customHeight="true" outlineLevel="0" collapsed="false">
      <c r="A618" s="10"/>
      <c r="B618" s="10"/>
      <c r="C618" s="10"/>
      <c r="D618" s="10"/>
    </row>
    <row r="619" customFormat="false" ht="15.75" hidden="false" customHeight="true" outlineLevel="0" collapsed="false">
      <c r="A619" s="10"/>
      <c r="B619" s="10"/>
      <c r="C619" s="10"/>
      <c r="D619" s="10"/>
    </row>
    <row r="620" customFormat="false" ht="15.75" hidden="false" customHeight="true" outlineLevel="0" collapsed="false">
      <c r="A620" s="10"/>
      <c r="B620" s="10"/>
      <c r="C620" s="10"/>
      <c r="D620" s="10"/>
    </row>
    <row r="621" customFormat="false" ht="15.75" hidden="false" customHeight="true" outlineLevel="0" collapsed="false">
      <c r="A621" s="10"/>
      <c r="B621" s="10"/>
      <c r="C621" s="10"/>
      <c r="D621" s="10"/>
    </row>
    <row r="622" customFormat="false" ht="15.75" hidden="false" customHeight="true" outlineLevel="0" collapsed="false">
      <c r="A622" s="10"/>
      <c r="B622" s="10"/>
      <c r="C622" s="10"/>
      <c r="D622" s="10"/>
    </row>
    <row r="623" customFormat="false" ht="15.75" hidden="false" customHeight="true" outlineLevel="0" collapsed="false">
      <c r="A623" s="10"/>
      <c r="B623" s="10"/>
      <c r="C623" s="10"/>
      <c r="D623" s="10"/>
    </row>
    <row r="624" customFormat="false" ht="15.75" hidden="false" customHeight="true" outlineLevel="0" collapsed="false">
      <c r="A624" s="10"/>
      <c r="B624" s="10"/>
      <c r="C624" s="10"/>
      <c r="D624" s="10"/>
    </row>
    <row r="625" customFormat="false" ht="15.75" hidden="false" customHeight="true" outlineLevel="0" collapsed="false">
      <c r="A625" s="10"/>
      <c r="B625" s="10"/>
      <c r="C625" s="10"/>
      <c r="D625" s="10"/>
    </row>
    <row r="626" customFormat="false" ht="15.75" hidden="false" customHeight="true" outlineLevel="0" collapsed="false">
      <c r="A626" s="10"/>
      <c r="B626" s="10"/>
      <c r="C626" s="10"/>
      <c r="D626" s="10"/>
    </row>
    <row r="627" customFormat="false" ht="15.75" hidden="false" customHeight="true" outlineLevel="0" collapsed="false">
      <c r="A627" s="10"/>
      <c r="B627" s="10"/>
      <c r="C627" s="10"/>
      <c r="D627" s="10"/>
    </row>
    <row r="628" customFormat="false" ht="15.75" hidden="false" customHeight="true" outlineLevel="0" collapsed="false">
      <c r="A628" s="10"/>
      <c r="B628" s="10"/>
      <c r="C628" s="10"/>
      <c r="D628" s="10"/>
    </row>
    <row r="629" customFormat="false" ht="15.75" hidden="false" customHeight="true" outlineLevel="0" collapsed="false">
      <c r="A629" s="10"/>
      <c r="B629" s="10"/>
      <c r="C629" s="10"/>
      <c r="D629" s="10"/>
    </row>
    <row r="630" customFormat="false" ht="15.75" hidden="false" customHeight="true" outlineLevel="0" collapsed="false">
      <c r="A630" s="10"/>
      <c r="B630" s="10"/>
      <c r="C630" s="10"/>
      <c r="D630" s="10"/>
    </row>
    <row r="631" customFormat="false" ht="15.75" hidden="false" customHeight="true" outlineLevel="0" collapsed="false">
      <c r="A631" s="10"/>
      <c r="B631" s="10"/>
      <c r="C631" s="10"/>
      <c r="D631" s="10"/>
    </row>
    <row r="632" customFormat="false" ht="15.75" hidden="false" customHeight="true" outlineLevel="0" collapsed="false">
      <c r="A632" s="10"/>
      <c r="B632" s="10"/>
      <c r="C632" s="10"/>
      <c r="D632" s="10"/>
    </row>
    <row r="633" customFormat="false" ht="15.75" hidden="false" customHeight="true" outlineLevel="0" collapsed="false">
      <c r="A633" s="10"/>
      <c r="B633" s="10"/>
      <c r="C633" s="10"/>
      <c r="D633" s="10"/>
    </row>
    <row r="634" customFormat="false" ht="15.75" hidden="false" customHeight="true" outlineLevel="0" collapsed="false">
      <c r="A634" s="10"/>
      <c r="B634" s="10"/>
      <c r="C634" s="10"/>
      <c r="D634" s="10"/>
    </row>
    <row r="635" customFormat="false" ht="15.75" hidden="false" customHeight="true" outlineLevel="0" collapsed="false">
      <c r="A635" s="10"/>
      <c r="B635" s="10"/>
      <c r="C635" s="10"/>
      <c r="D635" s="10"/>
    </row>
    <row r="636" customFormat="false" ht="15.75" hidden="false" customHeight="true" outlineLevel="0" collapsed="false">
      <c r="A636" s="10"/>
      <c r="B636" s="10"/>
      <c r="C636" s="10"/>
      <c r="D636" s="10"/>
    </row>
    <row r="637" customFormat="false" ht="15.75" hidden="false" customHeight="true" outlineLevel="0" collapsed="false">
      <c r="A637" s="10"/>
      <c r="B637" s="10"/>
      <c r="C637" s="10"/>
      <c r="D637" s="10"/>
    </row>
    <row r="638" customFormat="false" ht="15.75" hidden="false" customHeight="true" outlineLevel="0" collapsed="false">
      <c r="A638" s="10"/>
      <c r="B638" s="10"/>
      <c r="C638" s="10"/>
      <c r="D638" s="10"/>
    </row>
    <row r="639" customFormat="false" ht="15.75" hidden="false" customHeight="true" outlineLevel="0" collapsed="false">
      <c r="A639" s="10"/>
      <c r="B639" s="10"/>
      <c r="C639" s="10"/>
      <c r="D639" s="10"/>
    </row>
    <row r="640" customFormat="false" ht="15.75" hidden="false" customHeight="true" outlineLevel="0" collapsed="false">
      <c r="A640" s="10"/>
      <c r="B640" s="10"/>
      <c r="C640" s="10"/>
      <c r="D640" s="10"/>
    </row>
    <row r="641" customFormat="false" ht="15.75" hidden="false" customHeight="true" outlineLevel="0" collapsed="false">
      <c r="A641" s="10"/>
      <c r="B641" s="10"/>
      <c r="C641" s="10"/>
      <c r="D641" s="10"/>
    </row>
    <row r="642" customFormat="false" ht="15.75" hidden="false" customHeight="true" outlineLevel="0" collapsed="false">
      <c r="A642" s="10"/>
      <c r="B642" s="10"/>
      <c r="C642" s="10"/>
      <c r="D642" s="10"/>
    </row>
    <row r="643" customFormat="false" ht="15.75" hidden="false" customHeight="true" outlineLevel="0" collapsed="false">
      <c r="A643" s="10"/>
      <c r="B643" s="10"/>
      <c r="C643" s="10"/>
      <c r="D643" s="10"/>
    </row>
    <row r="644" customFormat="false" ht="15.75" hidden="false" customHeight="true" outlineLevel="0" collapsed="false">
      <c r="A644" s="10"/>
      <c r="B644" s="10"/>
      <c r="C644" s="10"/>
      <c r="D644" s="10"/>
    </row>
    <row r="645" customFormat="false" ht="15.75" hidden="false" customHeight="true" outlineLevel="0" collapsed="false">
      <c r="A645" s="10"/>
      <c r="B645" s="10"/>
      <c r="C645" s="10"/>
      <c r="D645" s="10"/>
    </row>
    <row r="646" customFormat="false" ht="15.75" hidden="false" customHeight="true" outlineLevel="0" collapsed="false">
      <c r="A646" s="10"/>
      <c r="B646" s="10"/>
      <c r="C646" s="10"/>
      <c r="D646" s="10"/>
    </row>
    <row r="647" customFormat="false" ht="15.75" hidden="false" customHeight="true" outlineLevel="0" collapsed="false">
      <c r="A647" s="10"/>
      <c r="B647" s="10"/>
      <c r="C647" s="10"/>
      <c r="D647" s="10"/>
    </row>
    <row r="648" customFormat="false" ht="15.75" hidden="false" customHeight="true" outlineLevel="0" collapsed="false">
      <c r="A648" s="10"/>
      <c r="B648" s="10"/>
      <c r="C648" s="10"/>
      <c r="D648" s="10"/>
    </row>
    <row r="649" customFormat="false" ht="15.75" hidden="false" customHeight="true" outlineLevel="0" collapsed="false">
      <c r="A649" s="10"/>
      <c r="B649" s="10"/>
      <c r="C649" s="10"/>
      <c r="D649" s="10"/>
    </row>
    <row r="650" customFormat="false" ht="15.75" hidden="false" customHeight="true" outlineLevel="0" collapsed="false">
      <c r="A650" s="10"/>
      <c r="B650" s="10"/>
      <c r="C650" s="10"/>
      <c r="D650" s="10"/>
    </row>
    <row r="651" customFormat="false" ht="15.75" hidden="false" customHeight="true" outlineLevel="0" collapsed="false">
      <c r="A651" s="10"/>
      <c r="B651" s="10"/>
      <c r="C651" s="10"/>
      <c r="D651" s="10"/>
    </row>
    <row r="652" customFormat="false" ht="15.75" hidden="false" customHeight="true" outlineLevel="0" collapsed="false">
      <c r="A652" s="10"/>
      <c r="B652" s="10"/>
      <c r="C652" s="10"/>
      <c r="D652" s="10"/>
    </row>
    <row r="653" customFormat="false" ht="15.75" hidden="false" customHeight="true" outlineLevel="0" collapsed="false">
      <c r="A653" s="10"/>
      <c r="B653" s="10"/>
      <c r="C653" s="10"/>
      <c r="D653" s="10"/>
    </row>
    <row r="654" customFormat="false" ht="15.75" hidden="false" customHeight="true" outlineLevel="0" collapsed="false">
      <c r="A654" s="10"/>
      <c r="B654" s="10"/>
      <c r="C654" s="10"/>
      <c r="D654" s="10"/>
    </row>
    <row r="655" customFormat="false" ht="15.75" hidden="false" customHeight="true" outlineLevel="0" collapsed="false">
      <c r="A655" s="10"/>
      <c r="B655" s="10"/>
      <c r="C655" s="10"/>
      <c r="D655" s="10"/>
    </row>
    <row r="656" customFormat="false" ht="15.75" hidden="false" customHeight="true" outlineLevel="0" collapsed="false">
      <c r="A656" s="10"/>
      <c r="B656" s="10"/>
      <c r="C656" s="10"/>
      <c r="D656" s="10"/>
    </row>
    <row r="657" customFormat="false" ht="15.75" hidden="false" customHeight="true" outlineLevel="0" collapsed="false">
      <c r="A657" s="10"/>
      <c r="B657" s="10"/>
      <c r="C657" s="10"/>
      <c r="D657" s="10"/>
    </row>
    <row r="658" customFormat="false" ht="15.75" hidden="false" customHeight="true" outlineLevel="0" collapsed="false">
      <c r="A658" s="10"/>
      <c r="B658" s="10"/>
      <c r="C658" s="10"/>
      <c r="D658" s="10"/>
    </row>
    <row r="659" customFormat="false" ht="15.75" hidden="false" customHeight="true" outlineLevel="0" collapsed="false">
      <c r="A659" s="10"/>
      <c r="B659" s="10"/>
      <c r="C659" s="10"/>
      <c r="D659" s="10"/>
    </row>
    <row r="660" customFormat="false" ht="15.75" hidden="false" customHeight="true" outlineLevel="0" collapsed="false">
      <c r="A660" s="10"/>
      <c r="B660" s="10"/>
      <c r="C660" s="10"/>
      <c r="D660" s="10"/>
    </row>
    <row r="661" customFormat="false" ht="15.75" hidden="false" customHeight="true" outlineLevel="0" collapsed="false">
      <c r="A661" s="10"/>
      <c r="B661" s="10"/>
      <c r="C661" s="10"/>
      <c r="D661" s="10"/>
    </row>
    <row r="662" customFormat="false" ht="15.75" hidden="false" customHeight="true" outlineLevel="0" collapsed="false">
      <c r="A662" s="10"/>
      <c r="B662" s="10"/>
      <c r="C662" s="10"/>
      <c r="D662" s="10"/>
    </row>
    <row r="663" customFormat="false" ht="15.75" hidden="false" customHeight="true" outlineLevel="0" collapsed="false">
      <c r="A663" s="10"/>
      <c r="B663" s="10"/>
      <c r="C663" s="10"/>
      <c r="D663" s="10"/>
    </row>
    <row r="664" customFormat="false" ht="15.75" hidden="false" customHeight="true" outlineLevel="0" collapsed="false">
      <c r="A664" s="10"/>
      <c r="B664" s="10"/>
      <c r="C664" s="10"/>
      <c r="D664" s="10"/>
    </row>
    <row r="665" customFormat="false" ht="15.75" hidden="false" customHeight="true" outlineLevel="0" collapsed="false">
      <c r="A665" s="10"/>
      <c r="B665" s="10"/>
      <c r="C665" s="10"/>
      <c r="D665" s="10"/>
    </row>
    <row r="666" customFormat="false" ht="15.75" hidden="false" customHeight="true" outlineLevel="0" collapsed="false">
      <c r="A666" s="10"/>
      <c r="B666" s="10"/>
      <c r="C666" s="10"/>
      <c r="D666" s="10"/>
    </row>
    <row r="667" customFormat="false" ht="15.75" hidden="false" customHeight="true" outlineLevel="0" collapsed="false">
      <c r="A667" s="10"/>
      <c r="B667" s="10"/>
      <c r="C667" s="10"/>
      <c r="D667" s="10"/>
    </row>
    <row r="668" customFormat="false" ht="15.75" hidden="false" customHeight="true" outlineLevel="0" collapsed="false">
      <c r="A668" s="10"/>
      <c r="B668" s="10"/>
      <c r="C668" s="10"/>
      <c r="D668" s="10"/>
    </row>
    <row r="669" customFormat="false" ht="15.75" hidden="false" customHeight="true" outlineLevel="0" collapsed="false">
      <c r="A669" s="10"/>
      <c r="B669" s="10"/>
      <c r="C669" s="10"/>
      <c r="D669" s="10"/>
    </row>
    <row r="670" customFormat="false" ht="15.75" hidden="false" customHeight="true" outlineLevel="0" collapsed="false">
      <c r="A670" s="10"/>
      <c r="B670" s="10"/>
      <c r="C670" s="10"/>
      <c r="D670" s="10"/>
    </row>
    <row r="671" customFormat="false" ht="15.75" hidden="false" customHeight="true" outlineLevel="0" collapsed="false">
      <c r="A671" s="10"/>
      <c r="B671" s="10"/>
      <c r="C671" s="10"/>
      <c r="D671" s="10"/>
    </row>
    <row r="672" customFormat="false" ht="15.75" hidden="false" customHeight="true" outlineLevel="0" collapsed="false">
      <c r="A672" s="10"/>
      <c r="B672" s="10"/>
      <c r="C672" s="10"/>
      <c r="D672" s="10"/>
    </row>
    <row r="673" customFormat="false" ht="15.75" hidden="false" customHeight="true" outlineLevel="0" collapsed="false">
      <c r="A673" s="10"/>
      <c r="B673" s="10"/>
      <c r="C673" s="10"/>
      <c r="D673" s="10"/>
    </row>
    <row r="674" customFormat="false" ht="15.75" hidden="false" customHeight="true" outlineLevel="0" collapsed="false">
      <c r="A674" s="10"/>
      <c r="B674" s="10"/>
      <c r="C674" s="10"/>
      <c r="D674" s="10"/>
    </row>
    <row r="675" customFormat="false" ht="15.75" hidden="false" customHeight="true" outlineLevel="0" collapsed="false">
      <c r="A675" s="10"/>
      <c r="B675" s="10"/>
      <c r="C675" s="10"/>
      <c r="D675" s="10"/>
    </row>
    <row r="676" customFormat="false" ht="15.75" hidden="false" customHeight="true" outlineLevel="0" collapsed="false">
      <c r="A676" s="10"/>
      <c r="B676" s="10"/>
      <c r="C676" s="10"/>
      <c r="D676" s="10"/>
    </row>
    <row r="677" customFormat="false" ht="15.75" hidden="false" customHeight="true" outlineLevel="0" collapsed="false">
      <c r="A677" s="10"/>
      <c r="B677" s="10"/>
      <c r="C677" s="10"/>
      <c r="D677" s="10"/>
    </row>
    <row r="678" customFormat="false" ht="15.75" hidden="false" customHeight="true" outlineLevel="0" collapsed="false">
      <c r="A678" s="10"/>
      <c r="B678" s="10"/>
      <c r="C678" s="10"/>
      <c r="D678" s="10"/>
    </row>
    <row r="679" customFormat="false" ht="15.75" hidden="false" customHeight="true" outlineLevel="0" collapsed="false">
      <c r="A679" s="10"/>
      <c r="B679" s="10"/>
      <c r="C679" s="10"/>
      <c r="D679" s="10"/>
    </row>
    <row r="680" customFormat="false" ht="15.75" hidden="false" customHeight="true" outlineLevel="0" collapsed="false">
      <c r="A680" s="10"/>
      <c r="B680" s="10"/>
      <c r="C680" s="10"/>
      <c r="D680" s="10"/>
    </row>
    <row r="681" customFormat="false" ht="15.75" hidden="false" customHeight="true" outlineLevel="0" collapsed="false">
      <c r="A681" s="10"/>
      <c r="B681" s="10"/>
      <c r="C681" s="10"/>
      <c r="D681" s="10"/>
    </row>
    <row r="682" customFormat="false" ht="15.75" hidden="false" customHeight="true" outlineLevel="0" collapsed="false">
      <c r="A682" s="10"/>
      <c r="B682" s="10"/>
      <c r="C682" s="10"/>
      <c r="D682" s="10"/>
    </row>
    <row r="683" customFormat="false" ht="15.75" hidden="false" customHeight="true" outlineLevel="0" collapsed="false">
      <c r="A683" s="10"/>
      <c r="B683" s="10"/>
      <c r="C683" s="10"/>
      <c r="D683" s="10"/>
    </row>
    <row r="684" customFormat="false" ht="15.75" hidden="false" customHeight="true" outlineLevel="0" collapsed="false">
      <c r="A684" s="10"/>
      <c r="B684" s="10"/>
      <c r="C684" s="10"/>
      <c r="D684" s="10"/>
    </row>
    <row r="685" customFormat="false" ht="15.75" hidden="false" customHeight="true" outlineLevel="0" collapsed="false">
      <c r="A685" s="10"/>
      <c r="B685" s="10"/>
      <c r="C685" s="10"/>
      <c r="D685" s="10"/>
    </row>
    <row r="686" customFormat="false" ht="15.75" hidden="false" customHeight="true" outlineLevel="0" collapsed="false">
      <c r="A686" s="10"/>
      <c r="B686" s="10"/>
      <c r="C686" s="10"/>
      <c r="D686" s="10"/>
    </row>
    <row r="687" customFormat="false" ht="15.75" hidden="false" customHeight="true" outlineLevel="0" collapsed="false">
      <c r="A687" s="10"/>
      <c r="B687" s="10"/>
      <c r="C687" s="10"/>
      <c r="D687" s="10"/>
    </row>
    <row r="688" customFormat="false" ht="15.75" hidden="false" customHeight="true" outlineLevel="0" collapsed="false">
      <c r="A688" s="10"/>
      <c r="B688" s="10"/>
      <c r="C688" s="10"/>
      <c r="D688" s="10"/>
    </row>
    <row r="689" customFormat="false" ht="15.75" hidden="false" customHeight="true" outlineLevel="0" collapsed="false">
      <c r="A689" s="10"/>
      <c r="B689" s="10"/>
      <c r="C689" s="10"/>
      <c r="D689" s="10"/>
    </row>
    <row r="690" customFormat="false" ht="15.75" hidden="false" customHeight="true" outlineLevel="0" collapsed="false">
      <c r="A690" s="10"/>
      <c r="B690" s="10"/>
      <c r="C690" s="10"/>
      <c r="D690" s="10"/>
    </row>
    <row r="691" customFormat="false" ht="15.75" hidden="false" customHeight="true" outlineLevel="0" collapsed="false">
      <c r="A691" s="10"/>
      <c r="B691" s="10"/>
      <c r="C691" s="10"/>
      <c r="D691" s="10"/>
    </row>
    <row r="692" customFormat="false" ht="15.75" hidden="false" customHeight="true" outlineLevel="0" collapsed="false">
      <c r="A692" s="10"/>
      <c r="B692" s="10"/>
      <c r="C692" s="10"/>
      <c r="D692" s="10"/>
    </row>
    <row r="693" customFormat="false" ht="15.75" hidden="false" customHeight="true" outlineLevel="0" collapsed="false">
      <c r="A693" s="10"/>
      <c r="B693" s="10"/>
      <c r="C693" s="10"/>
      <c r="D693" s="10"/>
    </row>
    <row r="694" customFormat="false" ht="15.75" hidden="false" customHeight="true" outlineLevel="0" collapsed="false">
      <c r="A694" s="10"/>
      <c r="B694" s="10"/>
      <c r="C694" s="10"/>
      <c r="D694" s="10"/>
    </row>
    <row r="695" customFormat="false" ht="15.75" hidden="false" customHeight="true" outlineLevel="0" collapsed="false">
      <c r="A695" s="10"/>
      <c r="B695" s="10"/>
      <c r="C695" s="10"/>
      <c r="D695" s="10"/>
    </row>
    <row r="696" customFormat="false" ht="15.75" hidden="false" customHeight="true" outlineLevel="0" collapsed="false">
      <c r="A696" s="10"/>
      <c r="B696" s="10"/>
      <c r="C696" s="10"/>
      <c r="D696" s="10"/>
    </row>
    <row r="697" customFormat="false" ht="15.75" hidden="false" customHeight="true" outlineLevel="0" collapsed="false">
      <c r="A697" s="10"/>
      <c r="B697" s="10"/>
      <c r="C697" s="10"/>
      <c r="D697" s="10"/>
    </row>
    <row r="698" customFormat="false" ht="15.75" hidden="false" customHeight="true" outlineLevel="0" collapsed="false">
      <c r="A698" s="10"/>
      <c r="B698" s="10"/>
      <c r="C698" s="10"/>
      <c r="D698" s="10"/>
    </row>
    <row r="699" customFormat="false" ht="15.75" hidden="false" customHeight="true" outlineLevel="0" collapsed="false">
      <c r="A699" s="10"/>
      <c r="B699" s="10"/>
      <c r="C699" s="10"/>
      <c r="D699" s="10"/>
    </row>
    <row r="700" customFormat="false" ht="15.75" hidden="false" customHeight="true" outlineLevel="0" collapsed="false">
      <c r="A700" s="10"/>
      <c r="B700" s="10"/>
      <c r="C700" s="10"/>
      <c r="D700" s="10"/>
    </row>
    <row r="701" customFormat="false" ht="15.75" hidden="false" customHeight="true" outlineLevel="0" collapsed="false">
      <c r="A701" s="10"/>
      <c r="B701" s="10"/>
      <c r="C701" s="10"/>
      <c r="D701" s="10"/>
    </row>
    <row r="702" customFormat="false" ht="15.75" hidden="false" customHeight="true" outlineLevel="0" collapsed="false">
      <c r="A702" s="10"/>
      <c r="B702" s="10"/>
      <c r="C702" s="10"/>
      <c r="D702" s="10"/>
    </row>
    <row r="703" customFormat="false" ht="15.75" hidden="false" customHeight="true" outlineLevel="0" collapsed="false">
      <c r="A703" s="10"/>
      <c r="B703" s="10"/>
      <c r="C703" s="10"/>
      <c r="D703" s="10"/>
    </row>
    <row r="704" customFormat="false" ht="15.75" hidden="false" customHeight="true" outlineLevel="0" collapsed="false">
      <c r="A704" s="10"/>
      <c r="B704" s="10"/>
      <c r="C704" s="10"/>
      <c r="D704" s="10"/>
    </row>
    <row r="705" customFormat="false" ht="15.75" hidden="false" customHeight="true" outlineLevel="0" collapsed="false">
      <c r="A705" s="10"/>
      <c r="B705" s="10"/>
      <c r="C705" s="10"/>
      <c r="D705" s="10"/>
    </row>
    <row r="706" customFormat="false" ht="15.75" hidden="false" customHeight="true" outlineLevel="0" collapsed="false">
      <c r="A706" s="10"/>
      <c r="B706" s="10"/>
      <c r="C706" s="10"/>
      <c r="D706" s="10"/>
    </row>
    <row r="707" customFormat="false" ht="15.75" hidden="false" customHeight="true" outlineLevel="0" collapsed="false">
      <c r="A707" s="10"/>
      <c r="B707" s="10"/>
      <c r="C707" s="10"/>
      <c r="D707" s="10"/>
    </row>
    <row r="708" customFormat="false" ht="15.75" hidden="false" customHeight="true" outlineLevel="0" collapsed="false">
      <c r="A708" s="10"/>
      <c r="B708" s="10"/>
      <c r="C708" s="10"/>
      <c r="D708" s="10"/>
    </row>
    <row r="709" customFormat="false" ht="15.75" hidden="false" customHeight="true" outlineLevel="0" collapsed="false">
      <c r="A709" s="10"/>
      <c r="B709" s="10"/>
      <c r="C709" s="10"/>
      <c r="D709" s="10"/>
    </row>
    <row r="710" customFormat="false" ht="15.75" hidden="false" customHeight="true" outlineLevel="0" collapsed="false">
      <c r="A710" s="10"/>
      <c r="B710" s="10"/>
      <c r="C710" s="10"/>
      <c r="D710" s="10"/>
    </row>
    <row r="711" customFormat="false" ht="15.75" hidden="false" customHeight="true" outlineLevel="0" collapsed="false">
      <c r="A711" s="10"/>
      <c r="B711" s="10"/>
      <c r="C711" s="10"/>
      <c r="D711" s="10"/>
    </row>
    <row r="712" customFormat="false" ht="15.75" hidden="false" customHeight="true" outlineLevel="0" collapsed="false">
      <c r="A712" s="10"/>
      <c r="B712" s="10"/>
      <c r="C712" s="10"/>
      <c r="D712" s="10"/>
    </row>
    <row r="713" customFormat="false" ht="15.75" hidden="false" customHeight="true" outlineLevel="0" collapsed="false">
      <c r="A713" s="10"/>
      <c r="B713" s="10"/>
      <c r="C713" s="10"/>
      <c r="D713" s="10"/>
    </row>
    <row r="714" customFormat="false" ht="15.75" hidden="false" customHeight="true" outlineLevel="0" collapsed="false">
      <c r="A714" s="10"/>
      <c r="B714" s="10"/>
      <c r="C714" s="10"/>
      <c r="D714" s="10"/>
    </row>
    <row r="715" customFormat="false" ht="15.75" hidden="false" customHeight="true" outlineLevel="0" collapsed="false">
      <c r="A715" s="10"/>
      <c r="B715" s="10"/>
      <c r="C715" s="10"/>
      <c r="D715" s="10"/>
    </row>
    <row r="716" customFormat="false" ht="15.75" hidden="false" customHeight="true" outlineLevel="0" collapsed="false">
      <c r="A716" s="10"/>
      <c r="B716" s="10"/>
      <c r="C716" s="10"/>
      <c r="D716" s="10"/>
    </row>
    <row r="717" customFormat="false" ht="15.75" hidden="false" customHeight="true" outlineLevel="0" collapsed="false">
      <c r="A717" s="10"/>
      <c r="B717" s="10"/>
      <c r="C717" s="10"/>
      <c r="D717" s="10"/>
    </row>
    <row r="718" customFormat="false" ht="15.75" hidden="false" customHeight="true" outlineLevel="0" collapsed="false">
      <c r="A718" s="10"/>
      <c r="B718" s="10"/>
      <c r="C718" s="10"/>
      <c r="D718" s="10"/>
    </row>
    <row r="719" customFormat="false" ht="15.75" hidden="false" customHeight="true" outlineLevel="0" collapsed="false">
      <c r="A719" s="10"/>
      <c r="B719" s="10"/>
      <c r="C719" s="10"/>
      <c r="D719" s="10"/>
    </row>
    <row r="720" customFormat="false" ht="15.75" hidden="false" customHeight="true" outlineLevel="0" collapsed="false">
      <c r="A720" s="10"/>
      <c r="B720" s="10"/>
      <c r="C720" s="10"/>
      <c r="D720" s="10"/>
    </row>
    <row r="721" customFormat="false" ht="15.75" hidden="false" customHeight="true" outlineLevel="0" collapsed="false">
      <c r="A721" s="10"/>
      <c r="B721" s="10"/>
      <c r="C721" s="10"/>
      <c r="D721" s="10"/>
    </row>
    <row r="722" customFormat="false" ht="15.75" hidden="false" customHeight="true" outlineLevel="0" collapsed="false">
      <c r="A722" s="10"/>
      <c r="B722" s="10"/>
      <c r="C722" s="10"/>
      <c r="D722" s="10"/>
    </row>
    <row r="723" customFormat="false" ht="15.75" hidden="false" customHeight="true" outlineLevel="0" collapsed="false">
      <c r="A723" s="10"/>
      <c r="B723" s="10"/>
      <c r="C723" s="10"/>
      <c r="D723" s="10"/>
    </row>
    <row r="724" customFormat="false" ht="15.75" hidden="false" customHeight="true" outlineLevel="0" collapsed="false">
      <c r="A724" s="10"/>
      <c r="B724" s="10"/>
      <c r="C724" s="10"/>
      <c r="D724" s="10"/>
    </row>
    <row r="725" customFormat="false" ht="15.75" hidden="false" customHeight="true" outlineLevel="0" collapsed="false">
      <c r="A725" s="10"/>
      <c r="B725" s="10"/>
      <c r="C725" s="10"/>
      <c r="D725" s="10"/>
    </row>
    <row r="726" customFormat="false" ht="15.75" hidden="false" customHeight="true" outlineLevel="0" collapsed="false">
      <c r="A726" s="10"/>
      <c r="B726" s="10"/>
      <c r="C726" s="10"/>
      <c r="D726" s="10"/>
    </row>
    <row r="727" customFormat="false" ht="15.75" hidden="false" customHeight="true" outlineLevel="0" collapsed="false">
      <c r="A727" s="10"/>
      <c r="B727" s="10"/>
      <c r="C727" s="10"/>
      <c r="D727" s="10"/>
    </row>
    <row r="728" customFormat="false" ht="15.75" hidden="false" customHeight="true" outlineLevel="0" collapsed="false">
      <c r="A728" s="10"/>
      <c r="B728" s="10"/>
      <c r="C728" s="10"/>
      <c r="D728" s="10"/>
    </row>
    <row r="729" customFormat="false" ht="15.75" hidden="false" customHeight="true" outlineLevel="0" collapsed="false">
      <c r="A729" s="10"/>
      <c r="B729" s="10"/>
      <c r="C729" s="10"/>
      <c r="D729" s="10"/>
    </row>
    <row r="730" customFormat="false" ht="15.75" hidden="false" customHeight="true" outlineLevel="0" collapsed="false">
      <c r="A730" s="10"/>
      <c r="B730" s="10"/>
      <c r="C730" s="10"/>
      <c r="D730" s="10"/>
    </row>
    <row r="731" customFormat="false" ht="15.75" hidden="false" customHeight="true" outlineLevel="0" collapsed="false">
      <c r="A731" s="10"/>
      <c r="B731" s="10"/>
      <c r="C731" s="10"/>
      <c r="D731" s="10"/>
    </row>
    <row r="732" customFormat="false" ht="15.75" hidden="false" customHeight="true" outlineLevel="0" collapsed="false">
      <c r="A732" s="10"/>
      <c r="B732" s="10"/>
      <c r="C732" s="10"/>
      <c r="D732" s="10"/>
    </row>
    <row r="733" customFormat="false" ht="15.75" hidden="false" customHeight="true" outlineLevel="0" collapsed="false">
      <c r="A733" s="10"/>
      <c r="B733" s="10"/>
      <c r="C733" s="10"/>
      <c r="D733" s="10"/>
    </row>
    <row r="734" customFormat="false" ht="15.75" hidden="false" customHeight="true" outlineLevel="0" collapsed="false">
      <c r="A734" s="10"/>
      <c r="B734" s="10"/>
      <c r="C734" s="10"/>
      <c r="D734" s="10"/>
    </row>
    <row r="735" customFormat="false" ht="15.75" hidden="false" customHeight="true" outlineLevel="0" collapsed="false">
      <c r="A735" s="10"/>
      <c r="B735" s="10"/>
      <c r="C735" s="10"/>
      <c r="D735" s="10"/>
    </row>
    <row r="736" customFormat="false" ht="15.75" hidden="false" customHeight="true" outlineLevel="0" collapsed="false">
      <c r="A736" s="10"/>
      <c r="B736" s="10"/>
      <c r="C736" s="10"/>
      <c r="D736" s="10"/>
    </row>
    <row r="737" customFormat="false" ht="15.75" hidden="false" customHeight="true" outlineLevel="0" collapsed="false">
      <c r="A737" s="10"/>
      <c r="B737" s="10"/>
      <c r="C737" s="10"/>
      <c r="D737" s="10"/>
    </row>
    <row r="738" customFormat="false" ht="15.75" hidden="false" customHeight="true" outlineLevel="0" collapsed="false">
      <c r="A738" s="10"/>
      <c r="B738" s="10"/>
      <c r="C738" s="10"/>
      <c r="D738" s="10"/>
    </row>
    <row r="739" customFormat="false" ht="15.75" hidden="false" customHeight="true" outlineLevel="0" collapsed="false">
      <c r="A739" s="10"/>
      <c r="B739" s="10"/>
      <c r="C739" s="10"/>
      <c r="D739" s="10"/>
    </row>
    <row r="740" customFormat="false" ht="15.75" hidden="false" customHeight="true" outlineLevel="0" collapsed="false">
      <c r="A740" s="10"/>
      <c r="B740" s="10"/>
      <c r="C740" s="10"/>
      <c r="D740" s="10"/>
    </row>
    <row r="741" customFormat="false" ht="15.75" hidden="false" customHeight="true" outlineLevel="0" collapsed="false">
      <c r="A741" s="10"/>
      <c r="B741" s="10"/>
      <c r="C741" s="10"/>
      <c r="D741" s="10"/>
    </row>
    <row r="742" customFormat="false" ht="15.75" hidden="false" customHeight="true" outlineLevel="0" collapsed="false">
      <c r="A742" s="10"/>
      <c r="B742" s="10"/>
      <c r="C742" s="10"/>
      <c r="D742" s="10"/>
    </row>
    <row r="743" customFormat="false" ht="15.75" hidden="false" customHeight="true" outlineLevel="0" collapsed="false">
      <c r="A743" s="10"/>
      <c r="B743" s="10"/>
      <c r="C743" s="10"/>
      <c r="D743" s="10"/>
    </row>
    <row r="744" customFormat="false" ht="15.75" hidden="false" customHeight="true" outlineLevel="0" collapsed="false">
      <c r="A744" s="10"/>
      <c r="B744" s="10"/>
      <c r="C744" s="10"/>
      <c r="D744" s="10"/>
    </row>
    <row r="745" customFormat="false" ht="15.75" hidden="false" customHeight="true" outlineLevel="0" collapsed="false">
      <c r="A745" s="10"/>
      <c r="B745" s="10"/>
      <c r="C745" s="10"/>
      <c r="D745" s="10"/>
    </row>
    <row r="746" customFormat="false" ht="15.75" hidden="false" customHeight="true" outlineLevel="0" collapsed="false">
      <c r="A746" s="10"/>
      <c r="B746" s="10"/>
      <c r="C746" s="10"/>
      <c r="D746" s="10"/>
    </row>
    <row r="747" customFormat="false" ht="15.75" hidden="false" customHeight="true" outlineLevel="0" collapsed="false">
      <c r="A747" s="10"/>
      <c r="B747" s="10"/>
      <c r="C747" s="10"/>
      <c r="D747" s="10"/>
    </row>
    <row r="748" customFormat="false" ht="15.75" hidden="false" customHeight="true" outlineLevel="0" collapsed="false">
      <c r="A748" s="10"/>
      <c r="B748" s="10"/>
      <c r="C748" s="10"/>
      <c r="D748" s="10"/>
    </row>
    <row r="749" customFormat="false" ht="15.75" hidden="false" customHeight="true" outlineLevel="0" collapsed="false">
      <c r="A749" s="10"/>
      <c r="B749" s="10"/>
      <c r="C749" s="10"/>
      <c r="D749" s="10"/>
    </row>
    <row r="750" customFormat="false" ht="15.75" hidden="false" customHeight="true" outlineLevel="0" collapsed="false">
      <c r="A750" s="10"/>
      <c r="B750" s="10"/>
      <c r="C750" s="10"/>
      <c r="D750" s="10"/>
    </row>
    <row r="751" customFormat="false" ht="15.75" hidden="false" customHeight="true" outlineLevel="0" collapsed="false">
      <c r="A751" s="10"/>
      <c r="B751" s="10"/>
      <c r="C751" s="10"/>
      <c r="D751" s="10"/>
    </row>
    <row r="752" customFormat="false" ht="15.75" hidden="false" customHeight="true" outlineLevel="0" collapsed="false">
      <c r="A752" s="10"/>
      <c r="B752" s="10"/>
      <c r="C752" s="10"/>
      <c r="D752" s="10"/>
    </row>
    <row r="753" customFormat="false" ht="15.75" hidden="false" customHeight="true" outlineLevel="0" collapsed="false">
      <c r="A753" s="10"/>
      <c r="B753" s="10"/>
      <c r="C753" s="10"/>
      <c r="D753" s="10"/>
    </row>
    <row r="754" customFormat="false" ht="15.75" hidden="false" customHeight="true" outlineLevel="0" collapsed="false">
      <c r="A754" s="10"/>
      <c r="B754" s="10"/>
      <c r="C754" s="10"/>
      <c r="D754" s="10"/>
    </row>
    <row r="755" customFormat="false" ht="15.75" hidden="false" customHeight="true" outlineLevel="0" collapsed="false">
      <c r="A755" s="10"/>
      <c r="B755" s="10"/>
      <c r="C755" s="10"/>
      <c r="D755" s="10"/>
    </row>
    <row r="756" customFormat="false" ht="15.75" hidden="false" customHeight="true" outlineLevel="0" collapsed="false">
      <c r="A756" s="10"/>
      <c r="B756" s="10"/>
      <c r="C756" s="10"/>
      <c r="D756" s="10"/>
    </row>
    <row r="757" customFormat="false" ht="15.75" hidden="false" customHeight="true" outlineLevel="0" collapsed="false">
      <c r="A757" s="10"/>
      <c r="B757" s="10"/>
      <c r="C757" s="10"/>
      <c r="D757" s="10"/>
    </row>
    <row r="758" customFormat="false" ht="15.75" hidden="false" customHeight="true" outlineLevel="0" collapsed="false">
      <c r="A758" s="10"/>
      <c r="B758" s="10"/>
      <c r="C758" s="10"/>
      <c r="D758" s="10"/>
    </row>
    <row r="759" customFormat="false" ht="15.75" hidden="false" customHeight="true" outlineLevel="0" collapsed="false">
      <c r="A759" s="10"/>
      <c r="B759" s="10"/>
      <c r="C759" s="10"/>
      <c r="D759" s="10"/>
    </row>
    <row r="760" customFormat="false" ht="15.75" hidden="false" customHeight="true" outlineLevel="0" collapsed="false">
      <c r="A760" s="10"/>
      <c r="B760" s="10"/>
      <c r="C760" s="10"/>
      <c r="D760" s="10"/>
    </row>
    <row r="761" customFormat="false" ht="15.75" hidden="false" customHeight="true" outlineLevel="0" collapsed="false">
      <c r="A761" s="10"/>
      <c r="B761" s="10"/>
      <c r="C761" s="10"/>
      <c r="D761" s="10"/>
    </row>
    <row r="762" customFormat="false" ht="15.75" hidden="false" customHeight="true" outlineLevel="0" collapsed="false">
      <c r="A762" s="10"/>
      <c r="B762" s="10"/>
      <c r="C762" s="10"/>
      <c r="D762" s="10"/>
    </row>
    <row r="763" customFormat="false" ht="15.75" hidden="false" customHeight="true" outlineLevel="0" collapsed="false">
      <c r="A763" s="10"/>
      <c r="B763" s="10"/>
      <c r="C763" s="10"/>
      <c r="D763" s="10"/>
    </row>
    <row r="764" customFormat="false" ht="15.75" hidden="false" customHeight="true" outlineLevel="0" collapsed="false">
      <c r="A764" s="10"/>
      <c r="B764" s="10"/>
      <c r="C764" s="10"/>
      <c r="D764" s="10"/>
    </row>
    <row r="765" customFormat="false" ht="15.75" hidden="false" customHeight="true" outlineLevel="0" collapsed="false">
      <c r="A765" s="10"/>
      <c r="B765" s="10"/>
      <c r="C765" s="10"/>
      <c r="D765" s="10"/>
    </row>
    <row r="766" customFormat="false" ht="15.75" hidden="false" customHeight="true" outlineLevel="0" collapsed="false">
      <c r="A766" s="10"/>
      <c r="B766" s="10"/>
      <c r="C766" s="10"/>
      <c r="D766" s="10"/>
    </row>
    <row r="767" customFormat="false" ht="15.75" hidden="false" customHeight="true" outlineLevel="0" collapsed="false">
      <c r="A767" s="10"/>
      <c r="B767" s="10"/>
      <c r="C767" s="10"/>
      <c r="D767" s="10"/>
    </row>
    <row r="768" customFormat="false" ht="15.75" hidden="false" customHeight="true" outlineLevel="0" collapsed="false">
      <c r="A768" s="10"/>
      <c r="B768" s="10"/>
      <c r="C768" s="10"/>
      <c r="D768" s="10"/>
    </row>
    <row r="769" customFormat="false" ht="15.75" hidden="false" customHeight="true" outlineLevel="0" collapsed="false">
      <c r="A769" s="10"/>
      <c r="B769" s="10"/>
      <c r="C769" s="10"/>
      <c r="D769" s="10"/>
    </row>
    <row r="770" customFormat="false" ht="15.75" hidden="false" customHeight="true" outlineLevel="0" collapsed="false">
      <c r="A770" s="10"/>
      <c r="B770" s="10"/>
      <c r="C770" s="10"/>
      <c r="D770" s="10"/>
    </row>
    <row r="771" customFormat="false" ht="15.75" hidden="false" customHeight="true" outlineLevel="0" collapsed="false">
      <c r="A771" s="10"/>
      <c r="B771" s="10"/>
      <c r="C771" s="10"/>
      <c r="D771" s="10"/>
    </row>
    <row r="772" customFormat="false" ht="15.75" hidden="false" customHeight="true" outlineLevel="0" collapsed="false">
      <c r="A772" s="10"/>
      <c r="B772" s="10"/>
      <c r="C772" s="10"/>
      <c r="D772" s="10"/>
    </row>
    <row r="773" customFormat="false" ht="15.75" hidden="false" customHeight="true" outlineLevel="0" collapsed="false">
      <c r="A773" s="10"/>
      <c r="B773" s="10"/>
      <c r="C773" s="10"/>
      <c r="D773" s="10"/>
    </row>
    <row r="774" customFormat="false" ht="15.75" hidden="false" customHeight="true" outlineLevel="0" collapsed="false">
      <c r="A774" s="10"/>
      <c r="B774" s="10"/>
      <c r="C774" s="10"/>
      <c r="D774" s="10"/>
    </row>
    <row r="775" customFormat="false" ht="15.75" hidden="false" customHeight="true" outlineLevel="0" collapsed="false">
      <c r="A775" s="10"/>
      <c r="B775" s="10"/>
      <c r="C775" s="10"/>
      <c r="D775" s="10"/>
    </row>
    <row r="776" customFormat="false" ht="15.75" hidden="false" customHeight="true" outlineLevel="0" collapsed="false">
      <c r="A776" s="10"/>
      <c r="B776" s="10"/>
      <c r="C776" s="10"/>
      <c r="D776" s="10"/>
    </row>
    <row r="777" customFormat="false" ht="15.75" hidden="false" customHeight="true" outlineLevel="0" collapsed="false">
      <c r="A777" s="10"/>
      <c r="B777" s="10"/>
      <c r="C777" s="10"/>
      <c r="D777" s="10"/>
    </row>
    <row r="778" customFormat="false" ht="15.75" hidden="false" customHeight="true" outlineLevel="0" collapsed="false">
      <c r="A778" s="10"/>
      <c r="B778" s="10"/>
      <c r="C778" s="10"/>
      <c r="D778" s="10"/>
    </row>
    <row r="779" customFormat="false" ht="15.75" hidden="false" customHeight="true" outlineLevel="0" collapsed="false">
      <c r="A779" s="10"/>
      <c r="B779" s="10"/>
      <c r="C779" s="10"/>
      <c r="D779" s="10"/>
    </row>
    <row r="780" customFormat="false" ht="15.75" hidden="false" customHeight="true" outlineLevel="0" collapsed="false">
      <c r="A780" s="10"/>
      <c r="B780" s="10"/>
      <c r="C780" s="10"/>
      <c r="D780" s="10"/>
    </row>
    <row r="781" customFormat="false" ht="15.75" hidden="false" customHeight="true" outlineLevel="0" collapsed="false">
      <c r="A781" s="10"/>
      <c r="B781" s="10"/>
      <c r="C781" s="10"/>
      <c r="D781" s="10"/>
    </row>
    <row r="782" customFormat="false" ht="15.75" hidden="false" customHeight="true" outlineLevel="0" collapsed="false">
      <c r="A782" s="10"/>
      <c r="B782" s="10"/>
      <c r="C782" s="10"/>
      <c r="D782" s="10"/>
    </row>
    <row r="783" customFormat="false" ht="15.75" hidden="false" customHeight="true" outlineLevel="0" collapsed="false">
      <c r="A783" s="10"/>
      <c r="B783" s="10"/>
      <c r="C783" s="10"/>
      <c r="D783" s="10"/>
    </row>
    <row r="784" customFormat="false" ht="15.75" hidden="false" customHeight="true" outlineLevel="0" collapsed="false">
      <c r="A784" s="10"/>
      <c r="B784" s="10"/>
      <c r="C784" s="10"/>
      <c r="D784" s="10"/>
    </row>
    <row r="785" customFormat="false" ht="15.75" hidden="false" customHeight="true" outlineLevel="0" collapsed="false">
      <c r="A785" s="10"/>
      <c r="B785" s="10"/>
      <c r="C785" s="10"/>
      <c r="D785" s="10"/>
    </row>
    <row r="786" customFormat="false" ht="15.75" hidden="false" customHeight="true" outlineLevel="0" collapsed="false">
      <c r="A786" s="10"/>
      <c r="B786" s="10"/>
      <c r="C786" s="10"/>
      <c r="D786" s="10"/>
    </row>
    <row r="787" customFormat="false" ht="15.75" hidden="false" customHeight="true" outlineLevel="0" collapsed="false">
      <c r="A787" s="10"/>
      <c r="B787" s="10"/>
      <c r="C787" s="10"/>
      <c r="D787" s="10"/>
    </row>
    <row r="788" customFormat="false" ht="15.75" hidden="false" customHeight="true" outlineLevel="0" collapsed="false">
      <c r="A788" s="10"/>
      <c r="B788" s="10"/>
      <c r="C788" s="10"/>
      <c r="D788" s="10"/>
    </row>
    <row r="789" customFormat="false" ht="15.75" hidden="false" customHeight="true" outlineLevel="0" collapsed="false">
      <c r="A789" s="10"/>
      <c r="B789" s="10"/>
      <c r="C789" s="10"/>
      <c r="D789" s="10"/>
    </row>
    <row r="790" customFormat="false" ht="15.75" hidden="false" customHeight="true" outlineLevel="0" collapsed="false">
      <c r="A790" s="10"/>
      <c r="B790" s="10"/>
      <c r="C790" s="10"/>
      <c r="D790" s="10"/>
    </row>
    <row r="791" customFormat="false" ht="15.75" hidden="false" customHeight="true" outlineLevel="0" collapsed="false">
      <c r="A791" s="10"/>
      <c r="B791" s="10"/>
      <c r="C791" s="10"/>
      <c r="D791" s="10"/>
    </row>
    <row r="792" customFormat="false" ht="15.75" hidden="false" customHeight="true" outlineLevel="0" collapsed="false">
      <c r="A792" s="10"/>
      <c r="B792" s="10"/>
      <c r="C792" s="10"/>
      <c r="D792" s="10"/>
    </row>
    <row r="793" customFormat="false" ht="15.75" hidden="false" customHeight="true" outlineLevel="0" collapsed="false">
      <c r="A793" s="10"/>
      <c r="B793" s="10"/>
      <c r="C793" s="10"/>
      <c r="D793" s="10"/>
    </row>
    <row r="794" customFormat="false" ht="15.75" hidden="false" customHeight="true" outlineLevel="0" collapsed="false">
      <c r="A794" s="10"/>
      <c r="B794" s="10"/>
      <c r="C794" s="10"/>
      <c r="D794" s="10"/>
    </row>
    <row r="795" customFormat="false" ht="15.75" hidden="false" customHeight="true" outlineLevel="0" collapsed="false">
      <c r="A795" s="10"/>
      <c r="B795" s="10"/>
      <c r="C795" s="10"/>
      <c r="D795" s="10"/>
    </row>
    <row r="796" customFormat="false" ht="15.75" hidden="false" customHeight="true" outlineLevel="0" collapsed="false">
      <c r="A796" s="10"/>
      <c r="B796" s="10"/>
      <c r="C796" s="10"/>
      <c r="D796" s="10"/>
    </row>
    <row r="797" customFormat="false" ht="15.75" hidden="false" customHeight="true" outlineLevel="0" collapsed="false">
      <c r="A797" s="10"/>
      <c r="B797" s="10"/>
      <c r="C797" s="10"/>
      <c r="D797" s="10"/>
    </row>
    <row r="798" customFormat="false" ht="15.75" hidden="false" customHeight="true" outlineLevel="0" collapsed="false">
      <c r="A798" s="10"/>
      <c r="B798" s="10"/>
      <c r="C798" s="10"/>
      <c r="D798" s="10"/>
    </row>
    <row r="799" customFormat="false" ht="15.75" hidden="false" customHeight="true" outlineLevel="0" collapsed="false">
      <c r="A799" s="10"/>
      <c r="B799" s="10"/>
      <c r="C799" s="10"/>
      <c r="D799" s="10"/>
    </row>
    <row r="800" customFormat="false" ht="15.75" hidden="false" customHeight="true" outlineLevel="0" collapsed="false">
      <c r="A800" s="10"/>
      <c r="B800" s="10"/>
      <c r="C800" s="10"/>
      <c r="D800" s="10"/>
    </row>
    <row r="801" customFormat="false" ht="15.75" hidden="false" customHeight="true" outlineLevel="0" collapsed="false">
      <c r="A801" s="10"/>
      <c r="B801" s="10"/>
      <c r="C801" s="10"/>
      <c r="D801" s="10"/>
    </row>
    <row r="802" customFormat="false" ht="15.75" hidden="false" customHeight="true" outlineLevel="0" collapsed="false">
      <c r="A802" s="10"/>
      <c r="B802" s="10"/>
      <c r="C802" s="10"/>
      <c r="D802" s="10"/>
    </row>
    <row r="803" customFormat="false" ht="15.75" hidden="false" customHeight="true" outlineLevel="0" collapsed="false">
      <c r="A803" s="10"/>
      <c r="B803" s="10"/>
      <c r="C803" s="10"/>
      <c r="D803" s="10"/>
    </row>
    <row r="804" customFormat="false" ht="15.75" hidden="false" customHeight="true" outlineLevel="0" collapsed="false">
      <c r="A804" s="10"/>
      <c r="B804" s="10"/>
      <c r="C804" s="10"/>
      <c r="D804" s="10"/>
    </row>
    <row r="805" customFormat="false" ht="15.75" hidden="false" customHeight="true" outlineLevel="0" collapsed="false">
      <c r="A805" s="10"/>
      <c r="B805" s="10"/>
      <c r="C805" s="10"/>
      <c r="D805" s="10"/>
    </row>
    <row r="806" customFormat="false" ht="15.75" hidden="false" customHeight="true" outlineLevel="0" collapsed="false">
      <c r="A806" s="10"/>
      <c r="B806" s="10"/>
      <c r="C806" s="10"/>
      <c r="D806" s="10"/>
    </row>
    <row r="807" customFormat="false" ht="15.75" hidden="false" customHeight="true" outlineLevel="0" collapsed="false">
      <c r="A807" s="10"/>
      <c r="B807" s="10"/>
      <c r="C807" s="10"/>
      <c r="D807" s="10"/>
    </row>
    <row r="808" customFormat="false" ht="15.75" hidden="false" customHeight="true" outlineLevel="0" collapsed="false">
      <c r="A808" s="10"/>
      <c r="B808" s="10"/>
      <c r="C808" s="10"/>
      <c r="D808" s="10"/>
    </row>
    <row r="809" customFormat="false" ht="15.75" hidden="false" customHeight="true" outlineLevel="0" collapsed="false">
      <c r="A809" s="10"/>
      <c r="B809" s="10"/>
      <c r="C809" s="10"/>
      <c r="D809" s="10"/>
    </row>
    <row r="810" customFormat="false" ht="15.75" hidden="false" customHeight="true" outlineLevel="0" collapsed="false">
      <c r="A810" s="10"/>
      <c r="B810" s="10"/>
      <c r="C810" s="10"/>
      <c r="D810" s="10"/>
    </row>
    <row r="811" customFormat="false" ht="15.75" hidden="false" customHeight="true" outlineLevel="0" collapsed="false">
      <c r="A811" s="10"/>
      <c r="B811" s="10"/>
      <c r="C811" s="10"/>
      <c r="D811" s="10"/>
    </row>
    <row r="812" customFormat="false" ht="15.75" hidden="false" customHeight="true" outlineLevel="0" collapsed="false">
      <c r="A812" s="10"/>
      <c r="B812" s="10"/>
      <c r="C812" s="10"/>
      <c r="D812" s="10"/>
    </row>
    <row r="813" customFormat="false" ht="15.75" hidden="false" customHeight="true" outlineLevel="0" collapsed="false">
      <c r="A813" s="10"/>
      <c r="B813" s="10"/>
      <c r="C813" s="10"/>
      <c r="D813" s="10"/>
    </row>
    <row r="814" customFormat="false" ht="15.75" hidden="false" customHeight="true" outlineLevel="0" collapsed="false">
      <c r="A814" s="10"/>
      <c r="B814" s="10"/>
      <c r="C814" s="10"/>
      <c r="D814" s="10"/>
    </row>
    <row r="815" customFormat="false" ht="15.75" hidden="false" customHeight="true" outlineLevel="0" collapsed="false">
      <c r="A815" s="10"/>
      <c r="B815" s="10"/>
      <c r="C815" s="10"/>
      <c r="D815" s="10"/>
    </row>
    <row r="816" customFormat="false" ht="15.75" hidden="false" customHeight="true" outlineLevel="0" collapsed="false">
      <c r="A816" s="10"/>
      <c r="B816" s="10"/>
      <c r="C816" s="10"/>
      <c r="D816" s="10"/>
    </row>
    <row r="817" customFormat="false" ht="15.75" hidden="false" customHeight="true" outlineLevel="0" collapsed="false">
      <c r="A817" s="10"/>
      <c r="B817" s="10"/>
      <c r="C817" s="10"/>
      <c r="D817" s="10"/>
    </row>
    <row r="818" customFormat="false" ht="15.75" hidden="false" customHeight="true" outlineLevel="0" collapsed="false">
      <c r="A818" s="10"/>
      <c r="B818" s="10"/>
      <c r="C818" s="10"/>
      <c r="D818" s="10"/>
    </row>
    <row r="819" customFormat="false" ht="15.75" hidden="false" customHeight="true" outlineLevel="0" collapsed="false">
      <c r="A819" s="10"/>
      <c r="B819" s="10"/>
      <c r="C819" s="10"/>
      <c r="D819" s="10"/>
    </row>
    <row r="820" customFormat="false" ht="15.75" hidden="false" customHeight="true" outlineLevel="0" collapsed="false">
      <c r="A820" s="10"/>
      <c r="B820" s="10"/>
      <c r="C820" s="10"/>
      <c r="D820" s="10"/>
    </row>
    <row r="821" customFormat="false" ht="15.75" hidden="false" customHeight="true" outlineLevel="0" collapsed="false">
      <c r="A821" s="10"/>
      <c r="B821" s="10"/>
      <c r="C821" s="10"/>
      <c r="D821" s="10"/>
    </row>
    <row r="822" customFormat="false" ht="15.75" hidden="false" customHeight="true" outlineLevel="0" collapsed="false">
      <c r="A822" s="10"/>
      <c r="B822" s="10"/>
      <c r="C822" s="10"/>
      <c r="D822" s="10"/>
    </row>
    <row r="823" customFormat="false" ht="15.75" hidden="false" customHeight="true" outlineLevel="0" collapsed="false">
      <c r="A823" s="10"/>
      <c r="B823" s="10"/>
      <c r="C823" s="10"/>
      <c r="D823" s="10"/>
    </row>
    <row r="824" customFormat="false" ht="15.75" hidden="false" customHeight="true" outlineLevel="0" collapsed="false">
      <c r="A824" s="10"/>
      <c r="B824" s="10"/>
      <c r="C824" s="10"/>
      <c r="D824" s="10"/>
    </row>
    <row r="825" customFormat="false" ht="15.75" hidden="false" customHeight="true" outlineLevel="0" collapsed="false">
      <c r="A825" s="10"/>
      <c r="B825" s="10"/>
      <c r="C825" s="10"/>
      <c r="D825" s="10"/>
    </row>
    <row r="826" customFormat="false" ht="15.75" hidden="false" customHeight="true" outlineLevel="0" collapsed="false">
      <c r="A826" s="10"/>
      <c r="B826" s="10"/>
      <c r="C826" s="10"/>
      <c r="D826" s="10"/>
    </row>
    <row r="827" customFormat="false" ht="15.75" hidden="false" customHeight="true" outlineLevel="0" collapsed="false">
      <c r="A827" s="10"/>
      <c r="B827" s="10"/>
      <c r="C827" s="10"/>
      <c r="D827" s="10"/>
    </row>
    <row r="828" customFormat="false" ht="15.75" hidden="false" customHeight="true" outlineLevel="0" collapsed="false">
      <c r="A828" s="10"/>
      <c r="B828" s="10"/>
      <c r="C828" s="10"/>
      <c r="D828" s="10"/>
    </row>
    <row r="829" customFormat="false" ht="15.75" hidden="false" customHeight="true" outlineLevel="0" collapsed="false">
      <c r="A829" s="10"/>
      <c r="B829" s="10"/>
      <c r="C829" s="10"/>
      <c r="D829" s="10"/>
    </row>
    <row r="830" customFormat="false" ht="15.75" hidden="false" customHeight="true" outlineLevel="0" collapsed="false">
      <c r="A830" s="10"/>
      <c r="B830" s="10"/>
      <c r="C830" s="10"/>
      <c r="D830" s="10"/>
    </row>
    <row r="831" customFormat="false" ht="15.75" hidden="false" customHeight="true" outlineLevel="0" collapsed="false">
      <c r="A831" s="10"/>
      <c r="B831" s="10"/>
      <c r="C831" s="10"/>
      <c r="D831" s="10"/>
    </row>
    <row r="832" customFormat="false" ht="15.75" hidden="false" customHeight="true" outlineLevel="0" collapsed="false">
      <c r="A832" s="10"/>
      <c r="B832" s="10"/>
      <c r="C832" s="10"/>
      <c r="D832" s="10"/>
    </row>
    <row r="833" customFormat="false" ht="15.75" hidden="false" customHeight="true" outlineLevel="0" collapsed="false">
      <c r="A833" s="10"/>
      <c r="B833" s="10"/>
      <c r="C833" s="10"/>
      <c r="D833" s="10"/>
    </row>
    <row r="834" customFormat="false" ht="15.75" hidden="false" customHeight="true" outlineLevel="0" collapsed="false">
      <c r="A834" s="10"/>
      <c r="B834" s="10"/>
      <c r="C834" s="10"/>
      <c r="D834" s="10"/>
    </row>
    <row r="835" customFormat="false" ht="15.75" hidden="false" customHeight="true" outlineLevel="0" collapsed="false">
      <c r="A835" s="10"/>
      <c r="B835" s="10"/>
      <c r="C835" s="10"/>
      <c r="D835" s="10"/>
    </row>
    <row r="836" customFormat="false" ht="15.75" hidden="false" customHeight="true" outlineLevel="0" collapsed="false">
      <c r="A836" s="10"/>
      <c r="B836" s="10"/>
      <c r="C836" s="10"/>
      <c r="D836" s="10"/>
    </row>
    <row r="837" customFormat="false" ht="15.75" hidden="false" customHeight="true" outlineLevel="0" collapsed="false">
      <c r="A837" s="10"/>
      <c r="B837" s="10"/>
      <c r="C837" s="10"/>
      <c r="D837" s="10"/>
    </row>
    <row r="838" customFormat="false" ht="15.75" hidden="false" customHeight="true" outlineLevel="0" collapsed="false">
      <c r="A838" s="10"/>
      <c r="B838" s="10"/>
      <c r="C838" s="10"/>
      <c r="D838" s="10"/>
    </row>
    <row r="839" customFormat="false" ht="15.75" hidden="false" customHeight="true" outlineLevel="0" collapsed="false">
      <c r="A839" s="10"/>
      <c r="B839" s="10"/>
      <c r="C839" s="10"/>
      <c r="D839" s="10"/>
    </row>
    <row r="840" customFormat="false" ht="15.75" hidden="false" customHeight="true" outlineLevel="0" collapsed="false">
      <c r="A840" s="10"/>
      <c r="B840" s="10"/>
      <c r="C840" s="10"/>
      <c r="D840" s="10"/>
    </row>
    <row r="841" customFormat="false" ht="15.75" hidden="false" customHeight="true" outlineLevel="0" collapsed="false">
      <c r="A841" s="10"/>
      <c r="B841" s="10"/>
      <c r="C841" s="10"/>
      <c r="D841" s="10"/>
    </row>
    <row r="842" customFormat="false" ht="15.75" hidden="false" customHeight="true" outlineLevel="0" collapsed="false">
      <c r="A842" s="10"/>
      <c r="B842" s="10"/>
      <c r="C842" s="10"/>
      <c r="D842" s="10"/>
    </row>
    <row r="843" customFormat="false" ht="15.75" hidden="false" customHeight="true" outlineLevel="0" collapsed="false">
      <c r="A843" s="10"/>
      <c r="B843" s="10"/>
      <c r="C843" s="10"/>
      <c r="D843" s="10"/>
    </row>
    <row r="844" customFormat="false" ht="15.75" hidden="false" customHeight="true" outlineLevel="0" collapsed="false">
      <c r="A844" s="10"/>
      <c r="B844" s="10"/>
      <c r="C844" s="10"/>
      <c r="D844" s="10"/>
    </row>
    <row r="845" customFormat="false" ht="15.75" hidden="false" customHeight="true" outlineLevel="0" collapsed="false">
      <c r="A845" s="10"/>
      <c r="B845" s="10"/>
      <c r="C845" s="10"/>
      <c r="D845" s="10"/>
    </row>
    <row r="846" customFormat="false" ht="15.75" hidden="false" customHeight="true" outlineLevel="0" collapsed="false">
      <c r="A846" s="10"/>
      <c r="B846" s="10"/>
      <c r="C846" s="10"/>
      <c r="D846" s="10"/>
    </row>
    <row r="847" customFormat="false" ht="15.75" hidden="false" customHeight="true" outlineLevel="0" collapsed="false">
      <c r="A847" s="10"/>
      <c r="B847" s="10"/>
      <c r="C847" s="10"/>
      <c r="D847" s="10"/>
    </row>
    <row r="848" customFormat="false" ht="15.75" hidden="false" customHeight="true" outlineLevel="0" collapsed="false">
      <c r="A848" s="10"/>
      <c r="B848" s="10"/>
      <c r="C848" s="10"/>
      <c r="D848" s="10"/>
    </row>
    <row r="849" customFormat="false" ht="15.75" hidden="false" customHeight="true" outlineLevel="0" collapsed="false">
      <c r="A849" s="10"/>
      <c r="B849" s="10"/>
      <c r="C849" s="10"/>
      <c r="D849" s="10"/>
    </row>
    <row r="850" customFormat="false" ht="15.75" hidden="false" customHeight="true" outlineLevel="0" collapsed="false">
      <c r="A850" s="10"/>
      <c r="B850" s="10"/>
      <c r="C850" s="10"/>
      <c r="D850" s="10"/>
    </row>
    <row r="851" customFormat="false" ht="15.75" hidden="false" customHeight="true" outlineLevel="0" collapsed="false">
      <c r="A851" s="10"/>
      <c r="B851" s="10"/>
      <c r="C851" s="10"/>
      <c r="D851" s="10"/>
    </row>
    <row r="852" customFormat="false" ht="15.75" hidden="false" customHeight="true" outlineLevel="0" collapsed="false">
      <c r="A852" s="10"/>
      <c r="B852" s="10"/>
      <c r="C852" s="10"/>
      <c r="D852" s="10"/>
    </row>
    <row r="853" customFormat="false" ht="15.75" hidden="false" customHeight="true" outlineLevel="0" collapsed="false">
      <c r="A853" s="10"/>
      <c r="B853" s="10"/>
      <c r="C853" s="10"/>
      <c r="D853" s="10"/>
    </row>
    <row r="854" customFormat="false" ht="15.75" hidden="false" customHeight="true" outlineLevel="0" collapsed="false">
      <c r="A854" s="10"/>
      <c r="B854" s="10"/>
      <c r="C854" s="10"/>
      <c r="D854" s="10"/>
    </row>
    <row r="855" customFormat="false" ht="15.75" hidden="false" customHeight="true" outlineLevel="0" collapsed="false">
      <c r="A855" s="10"/>
      <c r="B855" s="10"/>
      <c r="C855" s="10"/>
      <c r="D855" s="10"/>
    </row>
    <row r="856" customFormat="false" ht="15.75" hidden="false" customHeight="true" outlineLevel="0" collapsed="false">
      <c r="A856" s="10"/>
      <c r="B856" s="10"/>
      <c r="C856" s="10"/>
      <c r="D856" s="10"/>
    </row>
    <row r="857" customFormat="false" ht="15.75" hidden="false" customHeight="true" outlineLevel="0" collapsed="false">
      <c r="A857" s="10"/>
      <c r="B857" s="10"/>
      <c r="C857" s="10"/>
      <c r="D857" s="10"/>
    </row>
    <row r="858" customFormat="false" ht="15.75" hidden="false" customHeight="true" outlineLevel="0" collapsed="false">
      <c r="A858" s="10"/>
      <c r="B858" s="10"/>
      <c r="C858" s="10"/>
      <c r="D858" s="10"/>
    </row>
    <row r="859" customFormat="false" ht="15.75" hidden="false" customHeight="true" outlineLevel="0" collapsed="false">
      <c r="A859" s="10"/>
      <c r="B859" s="10"/>
      <c r="C859" s="10"/>
      <c r="D859" s="10"/>
    </row>
    <row r="860" customFormat="false" ht="15.75" hidden="false" customHeight="true" outlineLevel="0" collapsed="false">
      <c r="A860" s="10"/>
      <c r="B860" s="10"/>
      <c r="C860" s="10"/>
      <c r="D860" s="10"/>
    </row>
    <row r="861" customFormat="false" ht="15.75" hidden="false" customHeight="true" outlineLevel="0" collapsed="false">
      <c r="A861" s="10"/>
      <c r="B861" s="10"/>
      <c r="C861" s="10"/>
      <c r="D861" s="10"/>
    </row>
    <row r="862" customFormat="false" ht="15.75" hidden="false" customHeight="true" outlineLevel="0" collapsed="false">
      <c r="A862" s="10"/>
      <c r="B862" s="10"/>
      <c r="C862" s="10"/>
      <c r="D862" s="10"/>
    </row>
    <row r="863" customFormat="false" ht="15.75" hidden="false" customHeight="true" outlineLevel="0" collapsed="false">
      <c r="A863" s="10"/>
      <c r="B863" s="10"/>
      <c r="C863" s="10"/>
      <c r="D863" s="10"/>
    </row>
    <row r="864" customFormat="false" ht="15.75" hidden="false" customHeight="true" outlineLevel="0" collapsed="false">
      <c r="A864" s="10"/>
      <c r="B864" s="10"/>
      <c r="C864" s="10"/>
      <c r="D864" s="10"/>
    </row>
    <row r="865" customFormat="false" ht="15.75" hidden="false" customHeight="true" outlineLevel="0" collapsed="false">
      <c r="A865" s="10"/>
      <c r="B865" s="10"/>
      <c r="C865" s="10"/>
      <c r="D865" s="10"/>
    </row>
    <row r="866" customFormat="false" ht="15.75" hidden="false" customHeight="true" outlineLevel="0" collapsed="false">
      <c r="A866" s="10"/>
      <c r="B866" s="10"/>
      <c r="C866" s="10"/>
      <c r="D866" s="10"/>
    </row>
    <row r="867" customFormat="false" ht="15.75" hidden="false" customHeight="true" outlineLevel="0" collapsed="false">
      <c r="A867" s="10"/>
      <c r="B867" s="10"/>
      <c r="C867" s="10"/>
      <c r="D867" s="10"/>
    </row>
    <row r="868" customFormat="false" ht="15.75" hidden="false" customHeight="true" outlineLevel="0" collapsed="false">
      <c r="A868" s="10"/>
      <c r="B868" s="10"/>
      <c r="C868" s="10"/>
      <c r="D868" s="10"/>
    </row>
    <row r="869" customFormat="false" ht="15.75" hidden="false" customHeight="true" outlineLevel="0" collapsed="false">
      <c r="A869" s="10"/>
      <c r="B869" s="10"/>
      <c r="C869" s="10"/>
      <c r="D869" s="10"/>
    </row>
    <row r="870" customFormat="false" ht="15.75" hidden="false" customHeight="true" outlineLevel="0" collapsed="false">
      <c r="A870" s="10"/>
      <c r="B870" s="10"/>
      <c r="C870" s="10"/>
      <c r="D870" s="10"/>
    </row>
    <row r="871" customFormat="false" ht="15.75" hidden="false" customHeight="true" outlineLevel="0" collapsed="false">
      <c r="A871" s="10"/>
      <c r="B871" s="10"/>
      <c r="C871" s="10"/>
      <c r="D871" s="10"/>
    </row>
    <row r="872" customFormat="false" ht="15.75" hidden="false" customHeight="true" outlineLevel="0" collapsed="false">
      <c r="A872" s="10"/>
      <c r="B872" s="10"/>
      <c r="C872" s="10"/>
      <c r="D872" s="10"/>
    </row>
    <row r="873" customFormat="false" ht="15.75" hidden="false" customHeight="true" outlineLevel="0" collapsed="false">
      <c r="A873" s="10"/>
      <c r="B873" s="10"/>
      <c r="C873" s="10"/>
      <c r="D873" s="10"/>
    </row>
    <row r="874" customFormat="false" ht="15.75" hidden="false" customHeight="true" outlineLevel="0" collapsed="false">
      <c r="A874" s="10"/>
      <c r="B874" s="10"/>
      <c r="C874" s="10"/>
      <c r="D874" s="10"/>
    </row>
    <row r="875" customFormat="false" ht="15.75" hidden="false" customHeight="true" outlineLevel="0" collapsed="false">
      <c r="A875" s="10"/>
      <c r="B875" s="10"/>
      <c r="C875" s="10"/>
      <c r="D875" s="10"/>
    </row>
    <row r="876" customFormat="false" ht="15.75" hidden="false" customHeight="true" outlineLevel="0" collapsed="false">
      <c r="A876" s="10"/>
      <c r="B876" s="10"/>
      <c r="C876" s="10"/>
      <c r="D876" s="10"/>
    </row>
    <row r="877" customFormat="false" ht="15.75" hidden="false" customHeight="true" outlineLevel="0" collapsed="false">
      <c r="A877" s="10"/>
      <c r="B877" s="10"/>
      <c r="C877" s="10"/>
      <c r="D877" s="10"/>
    </row>
    <row r="878" customFormat="false" ht="15.75" hidden="false" customHeight="true" outlineLevel="0" collapsed="false">
      <c r="A878" s="10"/>
      <c r="B878" s="10"/>
      <c r="C878" s="10"/>
      <c r="D878" s="10"/>
    </row>
    <row r="879" customFormat="false" ht="15.75" hidden="false" customHeight="true" outlineLevel="0" collapsed="false">
      <c r="A879" s="10"/>
      <c r="B879" s="10"/>
      <c r="C879" s="10"/>
      <c r="D879" s="10"/>
    </row>
    <row r="880" customFormat="false" ht="15.75" hidden="false" customHeight="true" outlineLevel="0" collapsed="false">
      <c r="A880" s="10"/>
      <c r="B880" s="10"/>
      <c r="C880" s="10"/>
      <c r="D880" s="10"/>
    </row>
    <row r="881" customFormat="false" ht="15.75" hidden="false" customHeight="true" outlineLevel="0" collapsed="false">
      <c r="A881" s="10"/>
      <c r="B881" s="10"/>
      <c r="C881" s="10"/>
      <c r="D881" s="10"/>
    </row>
    <row r="882" customFormat="false" ht="15.75" hidden="false" customHeight="true" outlineLevel="0" collapsed="false">
      <c r="A882" s="10"/>
      <c r="B882" s="10"/>
      <c r="C882" s="10"/>
      <c r="D882" s="10"/>
    </row>
    <row r="883" customFormat="false" ht="15.75" hidden="false" customHeight="true" outlineLevel="0" collapsed="false">
      <c r="A883" s="10"/>
      <c r="B883" s="10"/>
      <c r="C883" s="10"/>
      <c r="D883" s="10"/>
    </row>
    <row r="884" customFormat="false" ht="15.75" hidden="false" customHeight="true" outlineLevel="0" collapsed="false">
      <c r="A884" s="10"/>
      <c r="B884" s="10"/>
      <c r="C884" s="10"/>
      <c r="D884" s="10"/>
    </row>
    <row r="885" customFormat="false" ht="15.75" hidden="false" customHeight="true" outlineLevel="0" collapsed="false">
      <c r="A885" s="10"/>
      <c r="B885" s="10"/>
      <c r="C885" s="10"/>
      <c r="D885" s="10"/>
    </row>
    <row r="886" customFormat="false" ht="15.75" hidden="false" customHeight="true" outlineLevel="0" collapsed="false">
      <c r="A886" s="10"/>
      <c r="B886" s="10"/>
      <c r="C886" s="10"/>
      <c r="D886" s="10"/>
    </row>
    <row r="887" customFormat="false" ht="15.75" hidden="false" customHeight="true" outlineLevel="0" collapsed="false">
      <c r="A887" s="10"/>
      <c r="B887" s="10"/>
      <c r="C887" s="10"/>
      <c r="D887" s="10"/>
    </row>
    <row r="888" customFormat="false" ht="15.75" hidden="false" customHeight="true" outlineLevel="0" collapsed="false">
      <c r="A888" s="10"/>
      <c r="B888" s="10"/>
      <c r="C888" s="10"/>
      <c r="D888" s="10"/>
    </row>
    <row r="889" customFormat="false" ht="15.75" hidden="false" customHeight="true" outlineLevel="0" collapsed="false">
      <c r="A889" s="10"/>
      <c r="B889" s="10"/>
      <c r="C889" s="10"/>
      <c r="D889" s="10"/>
    </row>
    <row r="890" customFormat="false" ht="15.75" hidden="false" customHeight="true" outlineLevel="0" collapsed="false">
      <c r="A890" s="10"/>
      <c r="B890" s="10"/>
      <c r="C890" s="10"/>
      <c r="D890" s="10"/>
    </row>
    <row r="891" customFormat="false" ht="15.75" hidden="false" customHeight="true" outlineLevel="0" collapsed="false">
      <c r="A891" s="10"/>
      <c r="B891" s="10"/>
      <c r="C891" s="10"/>
      <c r="D891" s="10"/>
    </row>
    <row r="892" customFormat="false" ht="15.75" hidden="false" customHeight="true" outlineLevel="0" collapsed="false">
      <c r="A892" s="10"/>
      <c r="B892" s="10"/>
      <c r="C892" s="10"/>
      <c r="D892" s="10"/>
    </row>
    <row r="893" customFormat="false" ht="15.75" hidden="false" customHeight="true" outlineLevel="0" collapsed="false">
      <c r="A893" s="10"/>
      <c r="B893" s="10"/>
      <c r="C893" s="10"/>
      <c r="D893" s="10"/>
    </row>
    <row r="894" customFormat="false" ht="15.75" hidden="false" customHeight="true" outlineLevel="0" collapsed="false">
      <c r="A894" s="10"/>
      <c r="B894" s="10"/>
      <c r="C894" s="10"/>
      <c r="D894" s="10"/>
    </row>
    <row r="895" customFormat="false" ht="15.75" hidden="false" customHeight="true" outlineLevel="0" collapsed="false">
      <c r="A895" s="10"/>
      <c r="B895" s="10"/>
      <c r="C895" s="10"/>
      <c r="D895" s="10"/>
    </row>
    <row r="896" customFormat="false" ht="15.75" hidden="false" customHeight="true" outlineLevel="0" collapsed="false">
      <c r="A896" s="10"/>
      <c r="B896" s="10"/>
      <c r="C896" s="10"/>
      <c r="D896" s="10"/>
    </row>
    <row r="897" customFormat="false" ht="15.75" hidden="false" customHeight="true" outlineLevel="0" collapsed="false">
      <c r="A897" s="10"/>
      <c r="B897" s="10"/>
      <c r="C897" s="10"/>
      <c r="D897" s="10"/>
    </row>
    <row r="898" customFormat="false" ht="15.75" hidden="false" customHeight="true" outlineLevel="0" collapsed="false">
      <c r="A898" s="10"/>
      <c r="B898" s="10"/>
      <c r="C898" s="10"/>
      <c r="D898" s="10"/>
    </row>
    <row r="899" customFormat="false" ht="15.75" hidden="false" customHeight="true" outlineLevel="0" collapsed="false">
      <c r="A899" s="10"/>
      <c r="B899" s="10"/>
      <c r="C899" s="10"/>
      <c r="D899" s="10"/>
    </row>
    <row r="900" customFormat="false" ht="15.75" hidden="false" customHeight="true" outlineLevel="0" collapsed="false">
      <c r="A900" s="10"/>
      <c r="B900" s="10"/>
      <c r="C900" s="10"/>
      <c r="D900" s="10"/>
    </row>
    <row r="901" customFormat="false" ht="15.75" hidden="false" customHeight="true" outlineLevel="0" collapsed="false">
      <c r="A901" s="10"/>
      <c r="B901" s="10"/>
      <c r="C901" s="10"/>
      <c r="D901" s="10"/>
    </row>
    <row r="902" customFormat="false" ht="15.75" hidden="false" customHeight="true" outlineLevel="0" collapsed="false">
      <c r="A902" s="10"/>
      <c r="B902" s="10"/>
      <c r="C902" s="10"/>
      <c r="D902" s="10"/>
    </row>
    <row r="903" customFormat="false" ht="15.75" hidden="false" customHeight="true" outlineLevel="0" collapsed="false">
      <c r="A903" s="10"/>
      <c r="B903" s="10"/>
      <c r="C903" s="10"/>
      <c r="D903" s="10"/>
    </row>
    <row r="904" customFormat="false" ht="15.75" hidden="false" customHeight="true" outlineLevel="0" collapsed="false">
      <c r="A904" s="10"/>
      <c r="B904" s="10"/>
      <c r="C904" s="10"/>
      <c r="D904" s="10"/>
    </row>
    <row r="905" customFormat="false" ht="15.75" hidden="false" customHeight="true" outlineLevel="0" collapsed="false">
      <c r="A905" s="10"/>
      <c r="B905" s="10"/>
      <c r="C905" s="10"/>
      <c r="D905" s="10"/>
    </row>
    <row r="906" customFormat="false" ht="15.75" hidden="false" customHeight="true" outlineLevel="0" collapsed="false">
      <c r="A906" s="10"/>
      <c r="B906" s="10"/>
      <c r="C906" s="10"/>
      <c r="D906" s="10"/>
    </row>
    <row r="907" customFormat="false" ht="15.75" hidden="false" customHeight="true" outlineLevel="0" collapsed="false">
      <c r="A907" s="10"/>
      <c r="B907" s="10"/>
      <c r="C907" s="10"/>
      <c r="D907" s="10"/>
    </row>
    <row r="908" customFormat="false" ht="15.75" hidden="false" customHeight="true" outlineLevel="0" collapsed="false">
      <c r="A908" s="10"/>
      <c r="B908" s="10"/>
      <c r="C908" s="10"/>
      <c r="D908" s="10"/>
    </row>
    <row r="909" customFormat="false" ht="15.75" hidden="false" customHeight="true" outlineLevel="0" collapsed="false">
      <c r="A909" s="10"/>
      <c r="B909" s="10"/>
      <c r="C909" s="10"/>
      <c r="D909" s="10"/>
    </row>
    <row r="910" customFormat="false" ht="15.75" hidden="false" customHeight="true" outlineLevel="0" collapsed="false">
      <c r="A910" s="10"/>
      <c r="B910" s="10"/>
      <c r="C910" s="10"/>
      <c r="D910" s="10"/>
    </row>
    <row r="911" customFormat="false" ht="15.75" hidden="false" customHeight="true" outlineLevel="0" collapsed="false">
      <c r="A911" s="10"/>
      <c r="B911" s="10"/>
      <c r="C911" s="10"/>
      <c r="D911" s="10"/>
    </row>
    <row r="912" customFormat="false" ht="15.75" hidden="false" customHeight="true" outlineLevel="0" collapsed="false">
      <c r="A912" s="10"/>
      <c r="B912" s="10"/>
      <c r="C912" s="10"/>
      <c r="D912" s="10"/>
    </row>
    <row r="913" customFormat="false" ht="15.75" hidden="false" customHeight="true" outlineLevel="0" collapsed="false">
      <c r="A913" s="10"/>
      <c r="B913" s="10"/>
      <c r="C913" s="10"/>
      <c r="D913" s="10"/>
    </row>
    <row r="914" customFormat="false" ht="15.75" hidden="false" customHeight="true" outlineLevel="0" collapsed="false">
      <c r="A914" s="10"/>
      <c r="B914" s="10"/>
      <c r="C914" s="10"/>
      <c r="D914" s="10"/>
    </row>
    <row r="915" customFormat="false" ht="15.75" hidden="false" customHeight="true" outlineLevel="0" collapsed="false">
      <c r="A915" s="10"/>
      <c r="B915" s="10"/>
      <c r="C915" s="10"/>
      <c r="D915" s="10"/>
    </row>
    <row r="916" customFormat="false" ht="15.75" hidden="false" customHeight="true" outlineLevel="0" collapsed="false">
      <c r="A916" s="10"/>
      <c r="B916" s="10"/>
      <c r="C916" s="10"/>
      <c r="D916" s="10"/>
    </row>
    <row r="917" customFormat="false" ht="15.75" hidden="false" customHeight="true" outlineLevel="0" collapsed="false">
      <c r="A917" s="10"/>
      <c r="B917" s="10"/>
      <c r="C917" s="10"/>
      <c r="D917" s="10"/>
    </row>
    <row r="918" customFormat="false" ht="15.75" hidden="false" customHeight="true" outlineLevel="0" collapsed="false">
      <c r="A918" s="10"/>
      <c r="B918" s="10"/>
      <c r="C918" s="10"/>
      <c r="D918" s="10"/>
    </row>
    <row r="919" customFormat="false" ht="15.75" hidden="false" customHeight="true" outlineLevel="0" collapsed="false">
      <c r="A919" s="10"/>
      <c r="B919" s="10"/>
      <c r="C919" s="10"/>
      <c r="D919" s="10"/>
    </row>
    <row r="920" customFormat="false" ht="15.75" hidden="false" customHeight="true" outlineLevel="0" collapsed="false">
      <c r="A920" s="10"/>
      <c r="B920" s="10"/>
      <c r="C920" s="10"/>
      <c r="D920" s="10"/>
    </row>
    <row r="921" customFormat="false" ht="15.75" hidden="false" customHeight="true" outlineLevel="0" collapsed="false">
      <c r="A921" s="10"/>
      <c r="B921" s="10"/>
      <c r="C921" s="10"/>
      <c r="D921" s="10"/>
    </row>
    <row r="922" customFormat="false" ht="15.75" hidden="false" customHeight="true" outlineLevel="0" collapsed="false">
      <c r="A922" s="10"/>
      <c r="B922" s="10"/>
      <c r="C922" s="10"/>
      <c r="D922" s="10"/>
    </row>
    <row r="923" customFormat="false" ht="15.75" hidden="false" customHeight="true" outlineLevel="0" collapsed="false">
      <c r="A923" s="10"/>
      <c r="B923" s="10"/>
      <c r="C923" s="10"/>
      <c r="D923" s="10"/>
    </row>
    <row r="924" customFormat="false" ht="15.75" hidden="false" customHeight="true" outlineLevel="0" collapsed="false">
      <c r="A924" s="10"/>
      <c r="B924" s="10"/>
      <c r="C924" s="10"/>
      <c r="D924" s="10"/>
    </row>
    <row r="925" customFormat="false" ht="15.75" hidden="false" customHeight="true" outlineLevel="0" collapsed="false">
      <c r="A925" s="10"/>
      <c r="B925" s="10"/>
      <c r="C925" s="10"/>
      <c r="D925" s="10"/>
    </row>
    <row r="926" customFormat="false" ht="15.75" hidden="false" customHeight="true" outlineLevel="0" collapsed="false">
      <c r="A926" s="10"/>
      <c r="B926" s="10"/>
      <c r="C926" s="10"/>
      <c r="D926" s="10"/>
    </row>
    <row r="927" customFormat="false" ht="15.75" hidden="false" customHeight="true" outlineLevel="0" collapsed="false">
      <c r="A927" s="10"/>
      <c r="B927" s="10"/>
      <c r="C927" s="10"/>
      <c r="D927" s="10"/>
    </row>
    <row r="928" customFormat="false" ht="15.75" hidden="false" customHeight="true" outlineLevel="0" collapsed="false">
      <c r="A928" s="10"/>
      <c r="B928" s="10"/>
      <c r="C928" s="10"/>
      <c r="D928" s="10"/>
    </row>
    <row r="929" customFormat="false" ht="15.75" hidden="false" customHeight="true" outlineLevel="0" collapsed="false">
      <c r="A929" s="10"/>
      <c r="B929" s="10"/>
      <c r="C929" s="10"/>
      <c r="D929" s="10"/>
    </row>
    <row r="930" customFormat="false" ht="15.75" hidden="false" customHeight="true" outlineLevel="0" collapsed="false">
      <c r="A930" s="10"/>
      <c r="B930" s="10"/>
      <c r="C930" s="10"/>
      <c r="D930" s="10"/>
    </row>
    <row r="931" customFormat="false" ht="15.75" hidden="false" customHeight="true" outlineLevel="0" collapsed="false">
      <c r="A931" s="10"/>
      <c r="B931" s="10"/>
      <c r="C931" s="10"/>
      <c r="D931" s="10"/>
    </row>
    <row r="932" customFormat="false" ht="15.75" hidden="false" customHeight="true" outlineLevel="0" collapsed="false">
      <c r="A932" s="10"/>
      <c r="B932" s="10"/>
      <c r="C932" s="10"/>
      <c r="D932" s="10"/>
    </row>
    <row r="933" customFormat="false" ht="15.75" hidden="false" customHeight="true" outlineLevel="0" collapsed="false">
      <c r="A933" s="10"/>
      <c r="B933" s="10"/>
      <c r="C933" s="10"/>
      <c r="D933" s="10"/>
    </row>
    <row r="934" customFormat="false" ht="15.75" hidden="false" customHeight="true" outlineLevel="0" collapsed="false">
      <c r="A934" s="10"/>
      <c r="B934" s="10"/>
      <c r="C934" s="10"/>
      <c r="D934" s="10"/>
    </row>
    <row r="935" customFormat="false" ht="15.75" hidden="false" customHeight="true" outlineLevel="0" collapsed="false">
      <c r="A935" s="10"/>
      <c r="B935" s="10"/>
      <c r="C935" s="10"/>
      <c r="D935" s="10"/>
    </row>
    <row r="936" customFormat="false" ht="15.75" hidden="false" customHeight="true" outlineLevel="0" collapsed="false">
      <c r="A936" s="10"/>
      <c r="B936" s="10"/>
      <c r="C936" s="10"/>
      <c r="D936" s="10"/>
    </row>
    <row r="937" customFormat="false" ht="15.75" hidden="false" customHeight="true" outlineLevel="0" collapsed="false">
      <c r="A937" s="10"/>
      <c r="B937" s="10"/>
      <c r="C937" s="10"/>
      <c r="D937" s="10"/>
    </row>
    <row r="938" customFormat="false" ht="15.75" hidden="false" customHeight="true" outlineLevel="0" collapsed="false">
      <c r="A938" s="10"/>
      <c r="B938" s="10"/>
      <c r="C938" s="10"/>
      <c r="D938" s="10"/>
    </row>
    <row r="939" customFormat="false" ht="15.75" hidden="false" customHeight="true" outlineLevel="0" collapsed="false">
      <c r="A939" s="10"/>
      <c r="B939" s="10"/>
      <c r="C939" s="10"/>
      <c r="D939" s="10"/>
    </row>
    <row r="940" customFormat="false" ht="15.75" hidden="false" customHeight="true" outlineLevel="0" collapsed="false">
      <c r="A940" s="10"/>
      <c r="B940" s="10"/>
      <c r="C940" s="10"/>
      <c r="D940" s="10"/>
    </row>
    <row r="941" customFormat="false" ht="15.75" hidden="false" customHeight="true" outlineLevel="0" collapsed="false">
      <c r="A941" s="10"/>
      <c r="B941" s="10"/>
      <c r="C941" s="10"/>
      <c r="D941" s="10"/>
    </row>
    <row r="942" customFormat="false" ht="15.75" hidden="false" customHeight="true" outlineLevel="0" collapsed="false">
      <c r="A942" s="10"/>
      <c r="B942" s="10"/>
      <c r="C942" s="10"/>
      <c r="D942" s="10"/>
    </row>
    <row r="943" customFormat="false" ht="15.75" hidden="false" customHeight="true" outlineLevel="0" collapsed="false">
      <c r="A943" s="10"/>
      <c r="B943" s="10"/>
      <c r="C943" s="10"/>
      <c r="D943" s="10"/>
    </row>
    <row r="944" customFormat="false" ht="15.75" hidden="false" customHeight="true" outlineLevel="0" collapsed="false">
      <c r="A944" s="10"/>
      <c r="B944" s="10"/>
      <c r="C944" s="10"/>
      <c r="D944" s="10"/>
    </row>
    <row r="945" customFormat="false" ht="15.75" hidden="false" customHeight="true" outlineLevel="0" collapsed="false">
      <c r="A945" s="10"/>
      <c r="B945" s="10"/>
      <c r="C945" s="10"/>
      <c r="D945" s="10"/>
    </row>
    <row r="946" customFormat="false" ht="15.75" hidden="false" customHeight="true" outlineLevel="0" collapsed="false">
      <c r="A946" s="10"/>
      <c r="B946" s="10"/>
      <c r="C946" s="10"/>
      <c r="D946" s="10"/>
    </row>
    <row r="947" customFormat="false" ht="15.75" hidden="false" customHeight="true" outlineLevel="0" collapsed="false">
      <c r="A947" s="10"/>
      <c r="B947" s="10"/>
      <c r="C947" s="10"/>
      <c r="D947" s="10"/>
    </row>
    <row r="948" customFormat="false" ht="15.75" hidden="false" customHeight="true" outlineLevel="0" collapsed="false">
      <c r="A948" s="10"/>
      <c r="B948" s="10"/>
      <c r="C948" s="10"/>
      <c r="D948" s="10"/>
    </row>
    <row r="949" customFormat="false" ht="15.75" hidden="false" customHeight="true" outlineLevel="0" collapsed="false">
      <c r="A949" s="10"/>
      <c r="B949" s="10"/>
      <c r="C949" s="10"/>
      <c r="D949" s="10"/>
    </row>
    <row r="950" customFormat="false" ht="15.75" hidden="false" customHeight="true" outlineLevel="0" collapsed="false">
      <c r="A950" s="10"/>
      <c r="B950" s="10"/>
      <c r="C950" s="10"/>
      <c r="D950" s="10"/>
    </row>
    <row r="951" customFormat="false" ht="15.75" hidden="false" customHeight="true" outlineLevel="0" collapsed="false">
      <c r="A951" s="10"/>
      <c r="B951" s="10"/>
      <c r="C951" s="10"/>
      <c r="D951" s="10"/>
    </row>
    <row r="952" customFormat="false" ht="15.75" hidden="false" customHeight="true" outlineLevel="0" collapsed="false">
      <c r="A952" s="10"/>
      <c r="B952" s="10"/>
      <c r="C952" s="10"/>
      <c r="D952" s="10"/>
    </row>
    <row r="953" customFormat="false" ht="15.75" hidden="false" customHeight="true" outlineLevel="0" collapsed="false">
      <c r="A953" s="10"/>
      <c r="B953" s="10"/>
      <c r="C953" s="10"/>
      <c r="D953" s="10"/>
    </row>
    <row r="954" customFormat="false" ht="15.75" hidden="false" customHeight="true" outlineLevel="0" collapsed="false">
      <c r="A954" s="10"/>
      <c r="B954" s="10"/>
      <c r="C954" s="10"/>
      <c r="D954" s="10"/>
    </row>
    <row r="955" customFormat="false" ht="15.75" hidden="false" customHeight="true" outlineLevel="0" collapsed="false">
      <c r="A955" s="10"/>
      <c r="B955" s="10"/>
      <c r="C955" s="10"/>
      <c r="D955" s="10"/>
    </row>
    <row r="956" customFormat="false" ht="15.75" hidden="false" customHeight="true" outlineLevel="0" collapsed="false">
      <c r="A956" s="10"/>
      <c r="B956" s="10"/>
      <c r="C956" s="10"/>
      <c r="D956" s="10"/>
    </row>
    <row r="957" customFormat="false" ht="15.75" hidden="false" customHeight="true" outlineLevel="0" collapsed="false">
      <c r="A957" s="10"/>
      <c r="B957" s="10"/>
      <c r="C957" s="10"/>
      <c r="D957" s="10"/>
    </row>
    <row r="958" customFormat="false" ht="15.75" hidden="false" customHeight="true" outlineLevel="0" collapsed="false">
      <c r="A958" s="10"/>
      <c r="B958" s="10"/>
      <c r="C958" s="10"/>
      <c r="D958" s="10"/>
    </row>
    <row r="959" customFormat="false" ht="15.75" hidden="false" customHeight="true" outlineLevel="0" collapsed="false">
      <c r="A959" s="10"/>
      <c r="B959" s="10"/>
      <c r="C959" s="10"/>
      <c r="D959" s="10"/>
    </row>
    <row r="960" customFormat="false" ht="15.75" hidden="false" customHeight="true" outlineLevel="0" collapsed="false">
      <c r="A960" s="10"/>
      <c r="B960" s="10"/>
      <c r="C960" s="10"/>
      <c r="D960" s="10"/>
    </row>
    <row r="961" customFormat="false" ht="15.75" hidden="false" customHeight="true" outlineLevel="0" collapsed="false">
      <c r="A961" s="10"/>
      <c r="B961" s="10"/>
      <c r="C961" s="10"/>
      <c r="D961" s="10"/>
    </row>
    <row r="962" customFormat="false" ht="15.75" hidden="false" customHeight="true" outlineLevel="0" collapsed="false">
      <c r="A962" s="10"/>
      <c r="B962" s="10"/>
      <c r="C962" s="10"/>
      <c r="D962" s="10"/>
    </row>
    <row r="963" customFormat="false" ht="15.75" hidden="false" customHeight="true" outlineLevel="0" collapsed="false">
      <c r="A963" s="10"/>
      <c r="B963" s="10"/>
      <c r="C963" s="10"/>
      <c r="D963" s="10"/>
    </row>
    <row r="964" customFormat="false" ht="15.75" hidden="false" customHeight="true" outlineLevel="0" collapsed="false">
      <c r="A964" s="10"/>
      <c r="B964" s="10"/>
      <c r="C964" s="10"/>
      <c r="D964" s="10"/>
    </row>
    <row r="965" customFormat="false" ht="15.75" hidden="false" customHeight="true" outlineLevel="0" collapsed="false">
      <c r="A965" s="10"/>
      <c r="B965" s="10"/>
      <c r="C965" s="10"/>
      <c r="D965" s="10"/>
    </row>
    <row r="966" customFormat="false" ht="15.75" hidden="false" customHeight="true" outlineLevel="0" collapsed="false">
      <c r="A966" s="10"/>
      <c r="B966" s="10"/>
      <c r="C966" s="10"/>
      <c r="D966" s="10"/>
    </row>
    <row r="967" customFormat="false" ht="15.75" hidden="false" customHeight="true" outlineLevel="0" collapsed="false">
      <c r="A967" s="10"/>
      <c r="B967" s="10"/>
      <c r="C967" s="10"/>
      <c r="D967" s="10"/>
    </row>
    <row r="968" customFormat="false" ht="15.75" hidden="false" customHeight="true" outlineLevel="0" collapsed="false">
      <c r="A968" s="10"/>
      <c r="B968" s="10"/>
      <c r="C968" s="10"/>
      <c r="D968" s="10"/>
    </row>
    <row r="969" customFormat="false" ht="15.75" hidden="false" customHeight="true" outlineLevel="0" collapsed="false">
      <c r="A969" s="10"/>
      <c r="B969" s="10"/>
      <c r="C969" s="10"/>
      <c r="D969" s="10"/>
    </row>
    <row r="970" customFormat="false" ht="15.75" hidden="false" customHeight="true" outlineLevel="0" collapsed="false">
      <c r="A970" s="10"/>
      <c r="B970" s="10"/>
      <c r="C970" s="10"/>
      <c r="D970" s="10"/>
    </row>
    <row r="971" customFormat="false" ht="15.75" hidden="false" customHeight="true" outlineLevel="0" collapsed="false">
      <c r="A971" s="10"/>
      <c r="B971" s="10"/>
      <c r="C971" s="10"/>
      <c r="D971" s="10"/>
    </row>
    <row r="972" customFormat="false" ht="15.75" hidden="false" customHeight="true" outlineLevel="0" collapsed="false">
      <c r="A972" s="10"/>
      <c r="B972" s="10"/>
      <c r="C972" s="10"/>
      <c r="D972" s="10"/>
    </row>
    <row r="973" customFormat="false" ht="15.75" hidden="false" customHeight="true" outlineLevel="0" collapsed="false">
      <c r="A973" s="10"/>
      <c r="B973" s="10"/>
      <c r="C973" s="10"/>
      <c r="D973" s="10"/>
    </row>
    <row r="974" customFormat="false" ht="15.75" hidden="false" customHeight="true" outlineLevel="0" collapsed="false">
      <c r="A974" s="10"/>
      <c r="B974" s="10"/>
      <c r="C974" s="10"/>
      <c r="D974" s="10"/>
    </row>
    <row r="975" customFormat="false" ht="15.75" hidden="false" customHeight="true" outlineLevel="0" collapsed="false">
      <c r="A975" s="10"/>
      <c r="B975" s="10"/>
      <c r="C975" s="10"/>
      <c r="D975" s="10"/>
    </row>
    <row r="976" customFormat="false" ht="15.75" hidden="false" customHeight="true" outlineLevel="0" collapsed="false">
      <c r="A976" s="10"/>
      <c r="B976" s="10"/>
      <c r="C976" s="10"/>
      <c r="D976" s="10"/>
    </row>
    <row r="977" customFormat="false" ht="15.75" hidden="false" customHeight="true" outlineLevel="0" collapsed="false">
      <c r="A977" s="10"/>
      <c r="B977" s="10"/>
      <c r="C977" s="10"/>
      <c r="D977" s="10"/>
    </row>
    <row r="978" customFormat="false" ht="15.75" hidden="false" customHeight="true" outlineLevel="0" collapsed="false">
      <c r="A978" s="10"/>
      <c r="B978" s="10"/>
      <c r="C978" s="10"/>
      <c r="D978" s="10"/>
    </row>
    <row r="979" customFormat="false" ht="15.75" hidden="false" customHeight="true" outlineLevel="0" collapsed="false">
      <c r="A979" s="10"/>
      <c r="B979" s="10"/>
      <c r="C979" s="10"/>
      <c r="D979" s="10"/>
    </row>
    <row r="980" customFormat="false" ht="15.75" hidden="false" customHeight="true" outlineLevel="0" collapsed="false">
      <c r="A980" s="10"/>
      <c r="B980" s="10"/>
      <c r="C980" s="10"/>
      <c r="D980" s="10"/>
    </row>
    <row r="981" customFormat="false" ht="15.75" hidden="false" customHeight="true" outlineLevel="0" collapsed="false">
      <c r="A981" s="10"/>
      <c r="B981" s="10"/>
      <c r="C981" s="10"/>
      <c r="D981" s="10"/>
    </row>
    <row r="982" customFormat="false" ht="15.75" hidden="false" customHeight="true" outlineLevel="0" collapsed="false">
      <c r="A982" s="10"/>
      <c r="B982" s="10"/>
      <c r="C982" s="10"/>
      <c r="D982" s="10"/>
    </row>
    <row r="983" customFormat="false" ht="15.75" hidden="false" customHeight="true" outlineLevel="0" collapsed="false">
      <c r="A983" s="10"/>
      <c r="B983" s="10"/>
      <c r="C983" s="10"/>
      <c r="D983" s="10"/>
    </row>
    <row r="984" customFormat="false" ht="15.75" hidden="false" customHeight="true" outlineLevel="0" collapsed="false">
      <c r="A984" s="10"/>
      <c r="B984" s="10"/>
      <c r="C984" s="10"/>
      <c r="D984" s="10"/>
    </row>
    <row r="985" customFormat="false" ht="15.75" hidden="false" customHeight="true" outlineLevel="0" collapsed="false">
      <c r="A985" s="10"/>
      <c r="B985" s="10"/>
      <c r="C985" s="10"/>
      <c r="D985" s="10"/>
    </row>
    <row r="986" customFormat="false" ht="15.75" hidden="false" customHeight="true" outlineLevel="0" collapsed="false">
      <c r="A986" s="10"/>
      <c r="B986" s="10"/>
      <c r="C986" s="10"/>
      <c r="D986" s="10"/>
    </row>
    <row r="987" customFormat="false" ht="15.75" hidden="false" customHeight="true" outlineLevel="0" collapsed="false">
      <c r="A987" s="10"/>
      <c r="B987" s="10"/>
      <c r="C987" s="10"/>
      <c r="D987" s="10"/>
    </row>
    <row r="988" customFormat="false" ht="15.75" hidden="false" customHeight="true" outlineLevel="0" collapsed="false">
      <c r="A988" s="10"/>
      <c r="B988" s="10"/>
      <c r="C988" s="10"/>
      <c r="D988" s="10"/>
    </row>
    <row r="989" customFormat="false" ht="15.75" hidden="false" customHeight="true" outlineLevel="0" collapsed="false">
      <c r="A989" s="10"/>
      <c r="B989" s="10"/>
      <c r="C989" s="10"/>
      <c r="D989" s="10"/>
    </row>
    <row r="990" customFormat="false" ht="15.75" hidden="false" customHeight="true" outlineLevel="0" collapsed="false">
      <c r="A990" s="10"/>
      <c r="B990" s="10"/>
      <c r="C990" s="10"/>
      <c r="D990" s="10"/>
    </row>
    <row r="991" customFormat="false" ht="15.75" hidden="false" customHeight="true" outlineLevel="0" collapsed="false">
      <c r="A991" s="10"/>
      <c r="B991" s="10"/>
      <c r="C991" s="10"/>
      <c r="D991" s="10"/>
    </row>
    <row r="992" customFormat="false" ht="15.75" hidden="false" customHeight="true" outlineLevel="0" collapsed="false">
      <c r="A992" s="10"/>
      <c r="B992" s="10"/>
      <c r="C992" s="10"/>
      <c r="D992" s="10"/>
    </row>
    <row r="993" customFormat="false" ht="15.75" hidden="false" customHeight="true" outlineLevel="0" collapsed="false">
      <c r="A993" s="10"/>
      <c r="B993" s="10"/>
      <c r="C993" s="10"/>
      <c r="D993" s="10"/>
    </row>
    <row r="994" customFormat="false" ht="15.75" hidden="false" customHeight="true" outlineLevel="0" collapsed="false">
      <c r="A994" s="10"/>
      <c r="B994" s="10"/>
      <c r="C994" s="10"/>
      <c r="D994" s="10"/>
    </row>
    <row r="995" customFormat="false" ht="15.75" hidden="false" customHeight="true" outlineLevel="0" collapsed="false">
      <c r="A995" s="10"/>
      <c r="B995" s="10"/>
      <c r="C995" s="10"/>
      <c r="D995" s="10"/>
    </row>
    <row r="996" customFormat="false" ht="15.75" hidden="false" customHeight="true" outlineLevel="0" collapsed="false">
      <c r="A996" s="10"/>
      <c r="B996" s="10"/>
      <c r="C996" s="10"/>
      <c r="D996" s="10"/>
    </row>
    <row r="997" customFormat="false" ht="15.75" hidden="false" customHeight="true" outlineLevel="0" collapsed="false">
      <c r="A997" s="10"/>
      <c r="B997" s="10"/>
      <c r="C997" s="10"/>
      <c r="D997" s="10"/>
    </row>
    <row r="998" customFormat="false" ht="15.75" hidden="false" customHeight="true" outlineLevel="0" collapsed="false">
      <c r="A998" s="10"/>
      <c r="B998" s="10"/>
      <c r="C998" s="10"/>
      <c r="D998" s="10"/>
    </row>
    <row r="999" customFormat="false" ht="15.75" hidden="false" customHeight="true" outlineLevel="0" collapsed="false">
      <c r="A999" s="10"/>
      <c r="B999" s="10"/>
      <c r="C999" s="10"/>
      <c r="D999" s="10"/>
    </row>
    <row r="1000" customFormat="false" ht="15.75" hidden="false" customHeight="true" outlineLevel="0" collapsed="false">
      <c r="A1000" s="10"/>
      <c r="B1000" s="10"/>
      <c r="C1000" s="10"/>
      <c r="D1000" s="1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2026-01-27T07:03:53Z</dcterms:created>
  <dc:creator>openpyxl</dc:creator>
  <dc:description/>
  <dc:language>tr-TR</dc:language>
  <cp:lastModifiedBy/>
  <dcterms:modified xsi:type="dcterms:W3CDTF">2026-02-22T06:13:18Z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